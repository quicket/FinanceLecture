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35" windowWidth="19395" windowHeight="7605" activeTab="6"/>
  </bookViews>
  <sheets>
    <sheet name="Sheet1" sheetId="1" r:id="rId1"/>
    <sheet name="BSM-1" sheetId="2" r:id="rId2"/>
    <sheet name="BSM-2" sheetId="3" r:id="rId3"/>
    <sheet name="BSM-3" sheetId="4" r:id="rId4"/>
    <sheet name="BSM-Greeks" sheetId="5" r:id="rId5"/>
    <sheet name="BSM-BinaryTree" sheetId="6" r:id="rId6"/>
    <sheet name="BSM-BinaryTree2" sheetId="8" r:id="rId7"/>
    <sheet name="TreasuryFutures" sheetId="7" r:id="rId8"/>
  </sheets>
  <functionGroups builtInGroupCount="17"/>
  <calcPr calcId="145621"/>
</workbook>
</file>

<file path=xl/calcChain.xml><?xml version="1.0" encoding="utf-8"?>
<calcChain xmlns="http://schemas.openxmlformats.org/spreadsheetml/2006/main">
  <c r="A113" i="8" l="1"/>
  <c r="B115" i="8"/>
  <c r="B111" i="8"/>
  <c r="C117" i="8"/>
  <c r="C113" i="8"/>
  <c r="C109" i="8"/>
  <c r="D119" i="8"/>
  <c r="D115" i="8"/>
  <c r="D111" i="8"/>
  <c r="D107" i="8"/>
  <c r="E121" i="8"/>
  <c r="E117" i="8"/>
  <c r="E113" i="8"/>
  <c r="E109" i="8"/>
  <c r="E105" i="8"/>
  <c r="F123" i="8"/>
  <c r="F119" i="8"/>
  <c r="F115" i="8"/>
  <c r="F111" i="8"/>
  <c r="F107" i="8"/>
  <c r="F103" i="8"/>
  <c r="G125" i="8"/>
  <c r="G121" i="8"/>
  <c r="G117" i="8"/>
  <c r="G113" i="8"/>
  <c r="G109" i="8"/>
  <c r="G105" i="8"/>
  <c r="G101" i="8"/>
  <c r="H127" i="8"/>
  <c r="H123" i="8"/>
  <c r="H119" i="8"/>
  <c r="H115" i="8"/>
  <c r="H111" i="8"/>
  <c r="H107" i="8"/>
  <c r="H103" i="8"/>
  <c r="H99" i="8"/>
  <c r="I129" i="8"/>
  <c r="I125" i="8"/>
  <c r="I121" i="8"/>
  <c r="I117" i="8"/>
  <c r="I113" i="8"/>
  <c r="I109" i="8"/>
  <c r="I105" i="8"/>
  <c r="I101" i="8"/>
  <c r="I97" i="8"/>
  <c r="J131" i="8"/>
  <c r="J127" i="8"/>
  <c r="J123" i="8"/>
  <c r="J119" i="8"/>
  <c r="J115" i="8"/>
  <c r="J111" i="8"/>
  <c r="J107" i="8"/>
  <c r="J103" i="8"/>
  <c r="J99" i="8"/>
  <c r="J95" i="8"/>
  <c r="K133" i="8"/>
  <c r="K129" i="8"/>
  <c r="K125" i="8"/>
  <c r="K121" i="8"/>
  <c r="K117" i="8"/>
  <c r="K113" i="8"/>
  <c r="K109" i="8"/>
  <c r="K105" i="8"/>
  <c r="K101" i="8"/>
  <c r="K97" i="8"/>
  <c r="K93" i="8"/>
  <c r="L135" i="8"/>
  <c r="L131" i="8"/>
  <c r="L127" i="8"/>
  <c r="L123" i="8"/>
  <c r="L119" i="8"/>
  <c r="L115" i="8"/>
  <c r="L111" i="8"/>
  <c r="L107" i="8"/>
  <c r="L103" i="8"/>
  <c r="L99" i="8"/>
  <c r="L95" i="8"/>
  <c r="L91" i="8"/>
  <c r="M137" i="8"/>
  <c r="M133" i="8"/>
  <c r="M129" i="8"/>
  <c r="M125" i="8"/>
  <c r="M121" i="8"/>
  <c r="M117" i="8"/>
  <c r="M113" i="8"/>
  <c r="M109" i="8"/>
  <c r="M105" i="8"/>
  <c r="M101" i="8"/>
  <c r="M97" i="8"/>
  <c r="M93" i="8"/>
  <c r="M89" i="8"/>
  <c r="N139" i="8"/>
  <c r="N135" i="8"/>
  <c r="N131" i="8"/>
  <c r="N127" i="8"/>
  <c r="N123" i="8"/>
  <c r="N119" i="8"/>
  <c r="N115" i="8"/>
  <c r="N111" i="8"/>
  <c r="N107" i="8"/>
  <c r="N103" i="8"/>
  <c r="N99" i="8"/>
  <c r="N95" i="8"/>
  <c r="N91" i="8"/>
  <c r="N87" i="8"/>
  <c r="O141" i="8"/>
  <c r="O137" i="8"/>
  <c r="O133" i="8"/>
  <c r="O129" i="8"/>
  <c r="O125" i="8"/>
  <c r="O121" i="8"/>
  <c r="O117" i="8"/>
  <c r="O113" i="8"/>
  <c r="O109" i="8"/>
  <c r="O105" i="8"/>
  <c r="O101" i="8"/>
  <c r="O97" i="8"/>
  <c r="O93" i="8"/>
  <c r="O89" i="8"/>
  <c r="O85" i="8"/>
  <c r="P143" i="8"/>
  <c r="P139" i="8"/>
  <c r="P135" i="8"/>
  <c r="P131" i="8"/>
  <c r="P127" i="8"/>
  <c r="P123" i="8"/>
  <c r="P119" i="8"/>
  <c r="P115" i="8"/>
  <c r="P111" i="8"/>
  <c r="P107" i="8"/>
  <c r="P103" i="8"/>
  <c r="P99" i="8"/>
  <c r="P95" i="8"/>
  <c r="P91" i="8"/>
  <c r="P87" i="8"/>
  <c r="P83" i="8"/>
  <c r="Q145" i="8"/>
  <c r="Q141" i="8"/>
  <c r="Q137" i="8"/>
  <c r="Q133" i="8"/>
  <c r="Q129" i="8"/>
  <c r="Q125" i="8"/>
  <c r="Q121" i="8"/>
  <c r="Q117" i="8"/>
  <c r="Q113" i="8"/>
  <c r="Q109" i="8"/>
  <c r="Q105" i="8"/>
  <c r="Q101" i="8"/>
  <c r="Q97" i="8"/>
  <c r="Q93" i="8"/>
  <c r="Q89" i="8"/>
  <c r="Q85" i="8"/>
  <c r="Q81" i="8"/>
  <c r="R147" i="8"/>
  <c r="R143" i="8"/>
  <c r="R139" i="8"/>
  <c r="R135" i="8"/>
  <c r="R131" i="8"/>
  <c r="R127" i="8"/>
  <c r="R123" i="8"/>
  <c r="R119" i="8"/>
  <c r="R115" i="8"/>
  <c r="R111" i="8"/>
  <c r="R107" i="8"/>
  <c r="R103" i="8"/>
  <c r="R99" i="8"/>
  <c r="R95" i="8"/>
  <c r="R91" i="8"/>
  <c r="R87" i="8"/>
  <c r="R83" i="8"/>
  <c r="R79" i="8"/>
  <c r="S149" i="8"/>
  <c r="S145" i="8"/>
  <c r="S141" i="8"/>
  <c r="S137" i="8"/>
  <c r="S133" i="8"/>
  <c r="S129" i="8"/>
  <c r="S125" i="8"/>
  <c r="S121" i="8"/>
  <c r="S117" i="8"/>
  <c r="S113" i="8"/>
  <c r="S109" i="8"/>
  <c r="S105" i="8"/>
  <c r="S101" i="8"/>
  <c r="S97" i="8"/>
  <c r="S93" i="8"/>
  <c r="S89" i="8"/>
  <c r="S85" i="8"/>
  <c r="S81" i="8"/>
  <c r="S77" i="8"/>
  <c r="T151" i="8"/>
  <c r="T147" i="8"/>
  <c r="T143" i="8"/>
  <c r="T139" i="8"/>
  <c r="T135" i="8"/>
  <c r="T131" i="8"/>
  <c r="T127" i="8"/>
  <c r="T123" i="8"/>
  <c r="T119" i="8"/>
  <c r="T115" i="8"/>
  <c r="T111" i="8"/>
  <c r="T107" i="8"/>
  <c r="T103" i="8"/>
  <c r="T99" i="8"/>
  <c r="T95" i="8"/>
  <c r="T91" i="8"/>
  <c r="T87" i="8"/>
  <c r="T83" i="8"/>
  <c r="T79" i="8"/>
  <c r="T75" i="8"/>
  <c r="U153" i="8"/>
  <c r="U149" i="8"/>
  <c r="U145" i="8"/>
  <c r="U141" i="8"/>
  <c r="U137" i="8"/>
  <c r="U133" i="8"/>
  <c r="U129" i="8"/>
  <c r="U125" i="8"/>
  <c r="U121" i="8"/>
  <c r="U117" i="8"/>
  <c r="U113" i="8"/>
  <c r="U109" i="8"/>
  <c r="U105" i="8"/>
  <c r="U101" i="8"/>
  <c r="U97" i="8"/>
  <c r="U93" i="8"/>
  <c r="U89" i="8"/>
  <c r="U85" i="8"/>
  <c r="U81" i="8"/>
  <c r="U77" i="8"/>
  <c r="U73" i="8"/>
  <c r="V155" i="8"/>
  <c r="V151" i="8"/>
  <c r="V147" i="8"/>
  <c r="V143" i="8"/>
  <c r="V139" i="8"/>
  <c r="V135" i="8"/>
  <c r="V131" i="8"/>
  <c r="V127" i="8"/>
  <c r="V123" i="8"/>
  <c r="V119" i="8"/>
  <c r="V115" i="8"/>
  <c r="V111" i="8"/>
  <c r="V107" i="8"/>
  <c r="V103" i="8"/>
  <c r="V99" i="8"/>
  <c r="V95" i="8"/>
  <c r="V91" i="8"/>
  <c r="V87" i="8"/>
  <c r="V83" i="8"/>
  <c r="V79" i="8"/>
  <c r="V75" i="8"/>
  <c r="V71" i="8"/>
  <c r="W157" i="8"/>
  <c r="W153" i="8"/>
  <c r="W149" i="8"/>
  <c r="W145" i="8"/>
  <c r="W141" i="8"/>
  <c r="W137" i="8"/>
  <c r="W133" i="8"/>
  <c r="W129" i="8"/>
  <c r="W125" i="8"/>
  <c r="W121" i="8"/>
  <c r="W117" i="8"/>
  <c r="W113" i="8"/>
  <c r="W109" i="8"/>
  <c r="W105" i="8"/>
  <c r="W101" i="8"/>
  <c r="W97" i="8"/>
  <c r="W93" i="8"/>
  <c r="W89" i="8"/>
  <c r="W85" i="8"/>
  <c r="W81" i="8"/>
  <c r="W77" i="8"/>
  <c r="W73" i="8"/>
  <c r="W69" i="8"/>
  <c r="X159" i="8"/>
  <c r="X155" i="8"/>
  <c r="X151" i="8"/>
  <c r="X147" i="8"/>
  <c r="X143" i="8"/>
  <c r="X139" i="8"/>
  <c r="X135" i="8"/>
  <c r="X131" i="8"/>
  <c r="X127" i="8"/>
  <c r="X123" i="8"/>
  <c r="X119" i="8"/>
  <c r="X115" i="8"/>
  <c r="X111" i="8"/>
  <c r="X107" i="8"/>
  <c r="X103" i="8"/>
  <c r="X99" i="8"/>
  <c r="X95" i="8"/>
  <c r="X91" i="8"/>
  <c r="X87" i="8"/>
  <c r="X83" i="8"/>
  <c r="X79" i="8"/>
  <c r="X75" i="8"/>
  <c r="X71" i="8"/>
  <c r="X67" i="8"/>
  <c r="Y161" i="8"/>
  <c r="Y157" i="8"/>
  <c r="Y153" i="8"/>
  <c r="Y149" i="8"/>
  <c r="Y145" i="8"/>
  <c r="Y141" i="8"/>
  <c r="Y137" i="8"/>
  <c r="Y133" i="8"/>
  <c r="Y129" i="8"/>
  <c r="Y125" i="8"/>
  <c r="Y121" i="8"/>
  <c r="Y117" i="8"/>
  <c r="Y113" i="8"/>
  <c r="Y109" i="8"/>
  <c r="Y105" i="8"/>
  <c r="Y101" i="8"/>
  <c r="Y97" i="8"/>
  <c r="Y93" i="8"/>
  <c r="Y89" i="8"/>
  <c r="Y85" i="8"/>
  <c r="Y81" i="8"/>
  <c r="Y77" i="8"/>
  <c r="Y73" i="8"/>
  <c r="Y69" i="8"/>
  <c r="Y65" i="8"/>
  <c r="Z163" i="8"/>
  <c r="Z159" i="8"/>
  <c r="Z155" i="8"/>
  <c r="Z151" i="8"/>
  <c r="Z147" i="8"/>
  <c r="Z143" i="8"/>
  <c r="Z139" i="8"/>
  <c r="Z135" i="8"/>
  <c r="Z131" i="8"/>
  <c r="Z127" i="8"/>
  <c r="Z123" i="8"/>
  <c r="Z119" i="8"/>
  <c r="Z115" i="8"/>
  <c r="Z111" i="8"/>
  <c r="Z107" i="8"/>
  <c r="Z103" i="8"/>
  <c r="Z99" i="8"/>
  <c r="Z95" i="8"/>
  <c r="Z91" i="8"/>
  <c r="Z87" i="8"/>
  <c r="Z83" i="8"/>
  <c r="Z79" i="8"/>
  <c r="Z75" i="8"/>
  <c r="Z71" i="8"/>
  <c r="Z67" i="8"/>
  <c r="Z63" i="8"/>
  <c r="AA165" i="8"/>
  <c r="AA161" i="8"/>
  <c r="AA157" i="8"/>
  <c r="AA153" i="8"/>
  <c r="AA149" i="8"/>
  <c r="AA145" i="8"/>
  <c r="AA141" i="8"/>
  <c r="AA137" i="8"/>
  <c r="AA133" i="8"/>
  <c r="AA129" i="8"/>
  <c r="AA125" i="8"/>
  <c r="AA121" i="8"/>
  <c r="AA117" i="8"/>
  <c r="AA113" i="8"/>
  <c r="AA109" i="8"/>
  <c r="AA105" i="8"/>
  <c r="AA101" i="8"/>
  <c r="AA97" i="8"/>
  <c r="AA93" i="8"/>
  <c r="AA89" i="8"/>
  <c r="AA85" i="8"/>
  <c r="AA81" i="8"/>
  <c r="AA77" i="8"/>
  <c r="AA73" i="8"/>
  <c r="AA69" i="8"/>
  <c r="AA65" i="8"/>
  <c r="AA61" i="8"/>
  <c r="AB167" i="8"/>
  <c r="AB163" i="8"/>
  <c r="AB159" i="8"/>
  <c r="AB155" i="8"/>
  <c r="AB151" i="8"/>
  <c r="AB147" i="8"/>
  <c r="AB143" i="8"/>
  <c r="AB139" i="8"/>
  <c r="AB135" i="8"/>
  <c r="AB131" i="8"/>
  <c r="AB127" i="8"/>
  <c r="AB123" i="8"/>
  <c r="AB119" i="8"/>
  <c r="AB115" i="8"/>
  <c r="AB111" i="8"/>
  <c r="AB107" i="8"/>
  <c r="AB103" i="8"/>
  <c r="AB99" i="8"/>
  <c r="AB95" i="8"/>
  <c r="AB91" i="8"/>
  <c r="AB87" i="8"/>
  <c r="AB83" i="8"/>
  <c r="AB79" i="8"/>
  <c r="AB75" i="8"/>
  <c r="AB71" i="8"/>
  <c r="AB67" i="8"/>
  <c r="AB63" i="8"/>
  <c r="AB59" i="8"/>
  <c r="AC169" i="8"/>
  <c r="AC165" i="8"/>
  <c r="AC161" i="8"/>
  <c r="AC157" i="8"/>
  <c r="AC153" i="8"/>
  <c r="AC149" i="8"/>
  <c r="AC145" i="8"/>
  <c r="AC141" i="8"/>
  <c r="AC137" i="8"/>
  <c r="AC133" i="8"/>
  <c r="AC129" i="8"/>
  <c r="AC125" i="8"/>
  <c r="AC121" i="8"/>
  <c r="AC117" i="8"/>
  <c r="AC113" i="8"/>
  <c r="AC109" i="8"/>
  <c r="AC105" i="8"/>
  <c r="AC101" i="8"/>
  <c r="AC97" i="8"/>
  <c r="AC93" i="8"/>
  <c r="AC89" i="8"/>
  <c r="AC85" i="8"/>
  <c r="AC81" i="8"/>
  <c r="AC77" i="8"/>
  <c r="AC73" i="8"/>
  <c r="AC69" i="8"/>
  <c r="AC65" i="8"/>
  <c r="AC61" i="8"/>
  <c r="AC57" i="8"/>
  <c r="AD171" i="8"/>
  <c r="AD167" i="8"/>
  <c r="AD163" i="8"/>
  <c r="AD159" i="8"/>
  <c r="AD155" i="8"/>
  <c r="AD151" i="8"/>
  <c r="AD147" i="8"/>
  <c r="AD143" i="8"/>
  <c r="AD139" i="8"/>
  <c r="AD135" i="8"/>
  <c r="AD131" i="8"/>
  <c r="AD127" i="8"/>
  <c r="AD123" i="8"/>
  <c r="AD119" i="8"/>
  <c r="AD115" i="8"/>
  <c r="AD111" i="8"/>
  <c r="AD107" i="8"/>
  <c r="AD103" i="8"/>
  <c r="AD99" i="8"/>
  <c r="AD95" i="8"/>
  <c r="AD91" i="8"/>
  <c r="AD87" i="8"/>
  <c r="AD83" i="8"/>
  <c r="AD79" i="8"/>
  <c r="AD75" i="8"/>
  <c r="AD71" i="8"/>
  <c r="AD67" i="8"/>
  <c r="AD63" i="8"/>
  <c r="AD59" i="8"/>
  <c r="AD55" i="8"/>
  <c r="AE173" i="8"/>
  <c r="AE169" i="8"/>
  <c r="AE165" i="8"/>
  <c r="AE161" i="8"/>
  <c r="AE157" i="8"/>
  <c r="AE153" i="8"/>
  <c r="AE149" i="8"/>
  <c r="AE145" i="8"/>
  <c r="AE141" i="8"/>
  <c r="AE137" i="8"/>
  <c r="AE133" i="8"/>
  <c r="AE129" i="8"/>
  <c r="AE125" i="8"/>
  <c r="AE121" i="8"/>
  <c r="AE117" i="8"/>
  <c r="AE113" i="8"/>
  <c r="AE109" i="8"/>
  <c r="AE105" i="8"/>
  <c r="AE101" i="8"/>
  <c r="AE97" i="8"/>
  <c r="AE93" i="8"/>
  <c r="AE89" i="8"/>
  <c r="AE85" i="8"/>
  <c r="AE81" i="8"/>
  <c r="AE77" i="8"/>
  <c r="AE73" i="8"/>
  <c r="AE69" i="8"/>
  <c r="AE65" i="8"/>
  <c r="AE61" i="8"/>
  <c r="AE57" i="8"/>
  <c r="AE53" i="8"/>
  <c r="AF175" i="8"/>
  <c r="AF171" i="8"/>
  <c r="AF167" i="8"/>
  <c r="AF163" i="8"/>
  <c r="AF159" i="8"/>
  <c r="AF155" i="8"/>
  <c r="AF151" i="8"/>
  <c r="AF147" i="8"/>
  <c r="AF143" i="8"/>
  <c r="AF139" i="8"/>
  <c r="AF135" i="8"/>
  <c r="AF131" i="8"/>
  <c r="AF127" i="8"/>
  <c r="AF123" i="8"/>
  <c r="AF119" i="8"/>
  <c r="AF115" i="8"/>
  <c r="AF111" i="8"/>
  <c r="AF107" i="8"/>
  <c r="AF103" i="8"/>
  <c r="AF99" i="8"/>
  <c r="AF95" i="8"/>
  <c r="AF91" i="8"/>
  <c r="AF87" i="8"/>
  <c r="AF83" i="8"/>
  <c r="AF79" i="8"/>
  <c r="AF75" i="8"/>
  <c r="AF71" i="8"/>
  <c r="AF67" i="8"/>
  <c r="AF63" i="8"/>
  <c r="AF59" i="8"/>
  <c r="AF55" i="8"/>
  <c r="AF51" i="8"/>
  <c r="AG177" i="8"/>
  <c r="AG173" i="8"/>
  <c r="AG169" i="8"/>
  <c r="AG165" i="8"/>
  <c r="AG161" i="8"/>
  <c r="AG157" i="8"/>
  <c r="AG153" i="8"/>
  <c r="AG149" i="8"/>
  <c r="AG145" i="8"/>
  <c r="AG141" i="8"/>
  <c r="AG137" i="8"/>
  <c r="AG133" i="8"/>
  <c r="AG129" i="8"/>
  <c r="AG125" i="8"/>
  <c r="AG121" i="8"/>
  <c r="AG117" i="8"/>
  <c r="AG113" i="8"/>
  <c r="AG109" i="8"/>
  <c r="AG105" i="8"/>
  <c r="AG101" i="8"/>
  <c r="AG97" i="8"/>
  <c r="AG93" i="8"/>
  <c r="AG89" i="8"/>
  <c r="AG85" i="8"/>
  <c r="AG81" i="8"/>
  <c r="AG77" i="8"/>
  <c r="AG73" i="8"/>
  <c r="AG69" i="8"/>
  <c r="AG65" i="8"/>
  <c r="AG61" i="8"/>
  <c r="AG57" i="8"/>
  <c r="AG53" i="8"/>
  <c r="AG49" i="8"/>
  <c r="AH179" i="8"/>
  <c r="AH175" i="8"/>
  <c r="AH171" i="8"/>
  <c r="AH167" i="8"/>
  <c r="AH163" i="8"/>
  <c r="AH159" i="8"/>
  <c r="AH155" i="8"/>
  <c r="AH151" i="8"/>
  <c r="AH147" i="8"/>
  <c r="AH143" i="8"/>
  <c r="AH139" i="8"/>
  <c r="AH135" i="8"/>
  <c r="AH131" i="8"/>
  <c r="AH127" i="8"/>
  <c r="AH123" i="8"/>
  <c r="AH119" i="8"/>
  <c r="AH115" i="8"/>
  <c r="AH111" i="8"/>
  <c r="AH107" i="8"/>
  <c r="AH103" i="8"/>
  <c r="AH99" i="8"/>
  <c r="AH95" i="8"/>
  <c r="AH91" i="8"/>
  <c r="AH87" i="8"/>
  <c r="AH83" i="8"/>
  <c r="AH79" i="8"/>
  <c r="AH75" i="8"/>
  <c r="AH71" i="8"/>
  <c r="AH67" i="8"/>
  <c r="AH63" i="8"/>
  <c r="AH59" i="8"/>
  <c r="AH55" i="8"/>
  <c r="AH51" i="8"/>
  <c r="AH47" i="8"/>
  <c r="AI181" i="8"/>
  <c r="AI177" i="8"/>
  <c r="AI173" i="8"/>
  <c r="AI169" i="8"/>
  <c r="AI165" i="8"/>
  <c r="AI161" i="8"/>
  <c r="AI157" i="8"/>
  <c r="AI153" i="8"/>
  <c r="AI149" i="8"/>
  <c r="AI145" i="8"/>
  <c r="AI141" i="8"/>
  <c r="AI137" i="8"/>
  <c r="AI133" i="8"/>
  <c r="AI129" i="8"/>
  <c r="AI125" i="8"/>
  <c r="AI121" i="8"/>
  <c r="AI117" i="8"/>
  <c r="AI113" i="8"/>
  <c r="AI109" i="8"/>
  <c r="AI105" i="8"/>
  <c r="AI101" i="8"/>
  <c r="AI97" i="8"/>
  <c r="AI93" i="8"/>
  <c r="AI89" i="8"/>
  <c r="AI85" i="8"/>
  <c r="AI81" i="8"/>
  <c r="AI77" i="8"/>
  <c r="AI73" i="8"/>
  <c r="AI69" i="8"/>
  <c r="AI65" i="8"/>
  <c r="AI61" i="8"/>
  <c r="AI57" i="8"/>
  <c r="AI53" i="8"/>
  <c r="AI49" i="8"/>
  <c r="AI45" i="8"/>
  <c r="AJ183" i="8"/>
  <c r="AJ179" i="8"/>
  <c r="AJ175" i="8"/>
  <c r="AJ171" i="8"/>
  <c r="AJ167" i="8"/>
  <c r="AJ163" i="8"/>
  <c r="AJ159" i="8"/>
  <c r="AJ155" i="8"/>
  <c r="AJ151" i="8"/>
  <c r="AJ147" i="8"/>
  <c r="AJ143" i="8"/>
  <c r="AJ139" i="8"/>
  <c r="AJ135" i="8"/>
  <c r="AJ131" i="8"/>
  <c r="AJ127" i="8"/>
  <c r="AJ123" i="8"/>
  <c r="AJ119" i="8"/>
  <c r="AJ115" i="8"/>
  <c r="AJ111" i="8"/>
  <c r="AJ107" i="8"/>
  <c r="AJ103" i="8"/>
  <c r="AJ99" i="8"/>
  <c r="AJ95" i="8"/>
  <c r="AJ91" i="8"/>
  <c r="AJ87" i="8"/>
  <c r="AJ83" i="8"/>
  <c r="AJ79" i="8"/>
  <c r="AJ75" i="8"/>
  <c r="AJ71" i="8"/>
  <c r="AJ67" i="8"/>
  <c r="AJ63" i="8"/>
  <c r="AJ59" i="8"/>
  <c r="AJ55" i="8"/>
  <c r="AJ51" i="8"/>
  <c r="AJ47" i="8"/>
  <c r="AJ43" i="8"/>
  <c r="AK185" i="8"/>
  <c r="AK181" i="8"/>
  <c r="AK177" i="8"/>
  <c r="AK173" i="8"/>
  <c r="AK169" i="8"/>
  <c r="AK165" i="8"/>
  <c r="AK161" i="8"/>
  <c r="AK157" i="8"/>
  <c r="AK153" i="8"/>
  <c r="AK149" i="8"/>
  <c r="AK145" i="8"/>
  <c r="AK141" i="8"/>
  <c r="AK137" i="8"/>
  <c r="AK133" i="8"/>
  <c r="AK129" i="8"/>
  <c r="AK125" i="8"/>
  <c r="AK121" i="8"/>
  <c r="AK117" i="8"/>
  <c r="AK113" i="8"/>
  <c r="AK109" i="8"/>
  <c r="AK105" i="8"/>
  <c r="AK101" i="8"/>
  <c r="AK97" i="8"/>
  <c r="AK93" i="8"/>
  <c r="AK89" i="8"/>
  <c r="AK85" i="8"/>
  <c r="AK81" i="8"/>
  <c r="AK77" i="8"/>
  <c r="AK73" i="8"/>
  <c r="AK69" i="8"/>
  <c r="AK65" i="8"/>
  <c r="AK61" i="8"/>
  <c r="AK57" i="8"/>
  <c r="AK53" i="8"/>
  <c r="AK49" i="8"/>
  <c r="AK45" i="8"/>
  <c r="AK41" i="8"/>
  <c r="AL187" i="8"/>
  <c r="AL183" i="8"/>
  <c r="AL179" i="8"/>
  <c r="AL175" i="8"/>
  <c r="AL171" i="8"/>
  <c r="AL167" i="8"/>
  <c r="AL163" i="8"/>
  <c r="AL159" i="8"/>
  <c r="AL155" i="8"/>
  <c r="AL151" i="8"/>
  <c r="AL147" i="8"/>
  <c r="AL143" i="8"/>
  <c r="AL139" i="8"/>
  <c r="AL135" i="8"/>
  <c r="AL131" i="8"/>
  <c r="AL127" i="8"/>
  <c r="AL123" i="8"/>
  <c r="AL119" i="8"/>
  <c r="AL115" i="8"/>
  <c r="AL111" i="8"/>
  <c r="AL107" i="8"/>
  <c r="AL103" i="8"/>
  <c r="AL99" i="8"/>
  <c r="AL95" i="8"/>
  <c r="AL91" i="8"/>
  <c r="AL87" i="8"/>
  <c r="AL83" i="8"/>
  <c r="AL79" i="8"/>
  <c r="AL75" i="8"/>
  <c r="AL71" i="8"/>
  <c r="AL67" i="8"/>
  <c r="AL63" i="8"/>
  <c r="AL59" i="8"/>
  <c r="AL55" i="8"/>
  <c r="AL51" i="8"/>
  <c r="AL47" i="8"/>
  <c r="AL43" i="8"/>
  <c r="AL39" i="8"/>
  <c r="AM189" i="8"/>
  <c r="AM185" i="8"/>
  <c r="AM181" i="8"/>
  <c r="AM177" i="8"/>
  <c r="AM173" i="8"/>
  <c r="AM169" i="8"/>
  <c r="AM165" i="8"/>
  <c r="AM161" i="8"/>
  <c r="AM157" i="8"/>
  <c r="AM153" i="8"/>
  <c r="AM149" i="8"/>
  <c r="AM145" i="8"/>
  <c r="AM141" i="8"/>
  <c r="AM137" i="8"/>
  <c r="AM133" i="8"/>
  <c r="AM129" i="8"/>
  <c r="AM125" i="8"/>
  <c r="AM121" i="8"/>
  <c r="AM117" i="8"/>
  <c r="AM113" i="8"/>
  <c r="AM109" i="8"/>
  <c r="AM105" i="8"/>
  <c r="AM101" i="8"/>
  <c r="AM97" i="8"/>
  <c r="AM93" i="8"/>
  <c r="AM89" i="8"/>
  <c r="AM85" i="8"/>
  <c r="AM81" i="8"/>
  <c r="AM77" i="8"/>
  <c r="AM73" i="8"/>
  <c r="AM69" i="8"/>
  <c r="AM65" i="8"/>
  <c r="AM61" i="8"/>
  <c r="AM57" i="8"/>
  <c r="AM53" i="8"/>
  <c r="AM49" i="8"/>
  <c r="AM45" i="8"/>
  <c r="AM41" i="8"/>
  <c r="AM37" i="8"/>
  <c r="AN191" i="8"/>
  <c r="AN187" i="8"/>
  <c r="AN183" i="8"/>
  <c r="AN179" i="8"/>
  <c r="AN175" i="8"/>
  <c r="AN171" i="8"/>
  <c r="AN167" i="8"/>
  <c r="AN163" i="8"/>
  <c r="AN159" i="8"/>
  <c r="AN155" i="8"/>
  <c r="AN151" i="8"/>
  <c r="AN147" i="8"/>
  <c r="AN143" i="8"/>
  <c r="AN139" i="8"/>
  <c r="AN135" i="8"/>
  <c r="AN131" i="8"/>
  <c r="AN127" i="8"/>
  <c r="AN123" i="8"/>
  <c r="AN119" i="8"/>
  <c r="AN115" i="8"/>
  <c r="AN111" i="8"/>
  <c r="AN107" i="8"/>
  <c r="AN103" i="8"/>
  <c r="AN99" i="8"/>
  <c r="AN95" i="8"/>
  <c r="AN91" i="8"/>
  <c r="AN87" i="8"/>
  <c r="AN83" i="8"/>
  <c r="AN79" i="8"/>
  <c r="AN75" i="8"/>
  <c r="AN71" i="8"/>
  <c r="AN67" i="8"/>
  <c r="AN63" i="8"/>
  <c r="AN59" i="8"/>
  <c r="AN55" i="8"/>
  <c r="AN51" i="8"/>
  <c r="AN47" i="8"/>
  <c r="AN43" i="8"/>
  <c r="AN39" i="8"/>
  <c r="AN35" i="8"/>
  <c r="AO193" i="8"/>
  <c r="AO189" i="8"/>
  <c r="AO185" i="8"/>
  <c r="AO181" i="8"/>
  <c r="AO177" i="8"/>
  <c r="AO173" i="8"/>
  <c r="AO169" i="8"/>
  <c r="AO165" i="8"/>
  <c r="AO161" i="8"/>
  <c r="AO157" i="8"/>
  <c r="AO153" i="8"/>
  <c r="AO149" i="8"/>
  <c r="AO145" i="8"/>
  <c r="AO141" i="8"/>
  <c r="AO137" i="8"/>
  <c r="AO133" i="8"/>
  <c r="AO129" i="8"/>
  <c r="AO125" i="8"/>
  <c r="AO121" i="8"/>
  <c r="AO117" i="8"/>
  <c r="AO113" i="8"/>
  <c r="AO109" i="8"/>
  <c r="AO105" i="8"/>
  <c r="AO101" i="8"/>
  <c r="AO97" i="8"/>
  <c r="AO93" i="8"/>
  <c r="AO89" i="8"/>
  <c r="AO85" i="8"/>
  <c r="AO81" i="8"/>
  <c r="AO77" i="8"/>
  <c r="AO73" i="8"/>
  <c r="AO69" i="8"/>
  <c r="AO65" i="8"/>
  <c r="AO61" i="8"/>
  <c r="AO57" i="8"/>
  <c r="AO53" i="8"/>
  <c r="AO49" i="8"/>
  <c r="AO45" i="8"/>
  <c r="AO41" i="8"/>
  <c r="AO37" i="8"/>
  <c r="AO33" i="8"/>
  <c r="AP195" i="8"/>
  <c r="AP191" i="8"/>
  <c r="AP187" i="8"/>
  <c r="AP183" i="8"/>
  <c r="AP179" i="8"/>
  <c r="AP175" i="8"/>
  <c r="AP171" i="8"/>
  <c r="AP167" i="8"/>
  <c r="AP163" i="8"/>
  <c r="AP159" i="8"/>
  <c r="AP155" i="8"/>
  <c r="AP151" i="8"/>
  <c r="AP147" i="8"/>
  <c r="AP143" i="8"/>
  <c r="AP139" i="8"/>
  <c r="AP135" i="8"/>
  <c r="AP131" i="8"/>
  <c r="AP127" i="8"/>
  <c r="AP123" i="8"/>
  <c r="AP119" i="8"/>
  <c r="AP115" i="8"/>
  <c r="AP111" i="8"/>
  <c r="AP107" i="8"/>
  <c r="AP103" i="8"/>
  <c r="AP99" i="8"/>
  <c r="AP95" i="8"/>
  <c r="AP91" i="8"/>
  <c r="AP87" i="8"/>
  <c r="AP83" i="8"/>
  <c r="AP79" i="8"/>
  <c r="AP75" i="8"/>
  <c r="AP71" i="8"/>
  <c r="AP67" i="8"/>
  <c r="AP63" i="8"/>
  <c r="AP59" i="8"/>
  <c r="AP55" i="8"/>
  <c r="AP51" i="8"/>
  <c r="AP47" i="8"/>
  <c r="AP43" i="8"/>
  <c r="AP39" i="8"/>
  <c r="AP35" i="8"/>
  <c r="AP31" i="8"/>
  <c r="AQ197" i="8"/>
  <c r="AQ193" i="8"/>
  <c r="AQ189" i="8"/>
  <c r="AQ185" i="8"/>
  <c r="AQ181" i="8"/>
  <c r="AQ177" i="8"/>
  <c r="AQ173" i="8"/>
  <c r="AQ169" i="8"/>
  <c r="AQ165" i="8"/>
  <c r="AQ161" i="8"/>
  <c r="AQ157" i="8"/>
  <c r="AQ153" i="8"/>
  <c r="AQ149" i="8"/>
  <c r="AQ145" i="8"/>
  <c r="AQ141" i="8"/>
  <c r="AQ137" i="8"/>
  <c r="AQ133" i="8"/>
  <c r="AQ129" i="8"/>
  <c r="AQ125" i="8"/>
  <c r="AQ121" i="8"/>
  <c r="AQ117" i="8"/>
  <c r="AQ113" i="8"/>
  <c r="AQ109" i="8"/>
  <c r="AQ105" i="8"/>
  <c r="AQ101" i="8"/>
  <c r="AQ97" i="8"/>
  <c r="AQ93" i="8"/>
  <c r="AQ89" i="8"/>
  <c r="AQ85" i="8"/>
  <c r="AQ81" i="8"/>
  <c r="AQ77" i="8"/>
  <c r="AQ73" i="8"/>
  <c r="AQ69" i="8"/>
  <c r="AQ65" i="8"/>
  <c r="AQ61" i="8"/>
  <c r="AQ57" i="8"/>
  <c r="AQ53" i="8"/>
  <c r="AQ49" i="8"/>
  <c r="AQ45" i="8"/>
  <c r="AQ41" i="8"/>
  <c r="AQ37" i="8"/>
  <c r="AQ33" i="8"/>
  <c r="AQ29" i="8"/>
  <c r="AR199" i="8"/>
  <c r="AR195" i="8"/>
  <c r="AR191" i="8"/>
  <c r="AR187" i="8"/>
  <c r="AR183" i="8"/>
  <c r="AR179" i="8"/>
  <c r="AR175" i="8"/>
  <c r="AR171" i="8"/>
  <c r="AR167" i="8"/>
  <c r="AR163" i="8"/>
  <c r="AR159" i="8"/>
  <c r="AR155" i="8"/>
  <c r="AR151" i="8"/>
  <c r="AR147" i="8"/>
  <c r="AR143" i="8"/>
  <c r="AR139" i="8"/>
  <c r="AR135" i="8"/>
  <c r="AR131" i="8"/>
  <c r="AR127" i="8"/>
  <c r="AR123" i="8"/>
  <c r="AR119" i="8"/>
  <c r="AR115" i="8"/>
  <c r="AR111" i="8"/>
  <c r="AR107" i="8"/>
  <c r="AR103" i="8"/>
  <c r="AR99" i="8"/>
  <c r="AR95" i="8"/>
  <c r="AR91" i="8"/>
  <c r="AR87" i="8"/>
  <c r="AR83" i="8"/>
  <c r="AR79" i="8"/>
  <c r="AR75" i="8"/>
  <c r="AR71" i="8"/>
  <c r="AR67" i="8"/>
  <c r="AR63" i="8"/>
  <c r="AR59" i="8"/>
  <c r="AR55" i="8"/>
  <c r="AR51" i="8"/>
  <c r="AR47" i="8"/>
  <c r="AR43" i="8"/>
  <c r="AR39" i="8"/>
  <c r="AR35" i="8"/>
  <c r="AR31" i="8"/>
  <c r="AR27" i="8"/>
  <c r="AS201" i="8"/>
  <c r="AS197" i="8"/>
  <c r="AS193" i="8"/>
  <c r="AS189" i="8"/>
  <c r="AS185" i="8"/>
  <c r="AS181" i="8"/>
  <c r="AS177" i="8"/>
  <c r="AS173" i="8"/>
  <c r="AS169" i="8"/>
  <c r="AS165" i="8"/>
  <c r="AS161" i="8"/>
  <c r="AS157" i="8"/>
  <c r="AS153" i="8"/>
  <c r="AS149" i="8"/>
  <c r="AS145" i="8"/>
  <c r="AS141" i="8"/>
  <c r="AS137" i="8"/>
  <c r="AS133" i="8"/>
  <c r="AS129" i="8"/>
  <c r="AS125" i="8"/>
  <c r="AS121" i="8"/>
  <c r="AS117" i="8"/>
  <c r="AS113" i="8"/>
  <c r="AS109" i="8"/>
  <c r="AS105" i="8"/>
  <c r="AS101" i="8"/>
  <c r="AS97" i="8"/>
  <c r="AS93" i="8"/>
  <c r="AS89" i="8"/>
  <c r="AS85" i="8"/>
  <c r="AS81" i="8"/>
  <c r="AS77" i="8"/>
  <c r="AS73" i="8"/>
  <c r="AS69" i="8"/>
  <c r="AS65" i="8"/>
  <c r="AS61" i="8"/>
  <c r="AS57" i="8"/>
  <c r="AS53" i="8"/>
  <c r="AS49" i="8"/>
  <c r="AS45" i="8"/>
  <c r="AS41" i="8"/>
  <c r="AS37" i="8"/>
  <c r="AS33" i="8"/>
  <c r="AS29" i="8"/>
  <c r="AS25" i="8"/>
  <c r="AT203" i="8"/>
  <c r="AT199" i="8"/>
  <c r="AT195" i="8"/>
  <c r="AT191" i="8"/>
  <c r="AT187" i="8"/>
  <c r="AT183" i="8"/>
  <c r="AT179" i="8"/>
  <c r="AT175" i="8"/>
  <c r="AT171" i="8"/>
  <c r="AT167" i="8"/>
  <c r="AT163" i="8"/>
  <c r="AT159" i="8"/>
  <c r="AT155" i="8"/>
  <c r="AT151" i="8"/>
  <c r="AT147" i="8"/>
  <c r="AT143" i="8"/>
  <c r="AT139" i="8"/>
  <c r="AT135" i="8"/>
  <c r="AT131" i="8"/>
  <c r="AT127" i="8"/>
  <c r="AT123" i="8"/>
  <c r="AT119" i="8"/>
  <c r="AT115" i="8"/>
  <c r="AT111" i="8"/>
  <c r="AT107" i="8"/>
  <c r="AT103" i="8"/>
  <c r="AT99" i="8"/>
  <c r="AT95" i="8"/>
  <c r="AT91" i="8"/>
  <c r="AT87" i="8"/>
  <c r="AT83" i="8"/>
  <c r="AT79" i="8"/>
  <c r="AT75" i="8"/>
  <c r="AT71" i="8"/>
  <c r="AT67" i="8"/>
  <c r="AT63" i="8"/>
  <c r="AT59" i="8"/>
  <c r="AT55" i="8"/>
  <c r="AT51" i="8"/>
  <c r="AT47" i="8"/>
  <c r="AT43" i="8"/>
  <c r="AT39" i="8"/>
  <c r="AT35" i="8"/>
  <c r="AT31" i="8"/>
  <c r="AT27" i="8"/>
  <c r="AT23" i="8"/>
  <c r="AU205" i="8"/>
  <c r="AU201" i="8"/>
  <c r="AU197" i="8"/>
  <c r="AU193" i="8"/>
  <c r="AU189" i="8"/>
  <c r="AU185" i="8"/>
  <c r="AU181" i="8"/>
  <c r="AU177" i="8"/>
  <c r="AU173" i="8"/>
  <c r="AU169" i="8"/>
  <c r="AU165" i="8"/>
  <c r="AU161" i="8"/>
  <c r="AU157" i="8"/>
  <c r="AU153" i="8"/>
  <c r="AU149" i="8"/>
  <c r="AU145" i="8"/>
  <c r="AU141" i="8"/>
  <c r="AU137" i="8"/>
  <c r="AU133" i="8"/>
  <c r="AU129" i="8"/>
  <c r="AU125" i="8"/>
  <c r="AU121" i="8"/>
  <c r="AU117" i="8"/>
  <c r="AU113" i="8"/>
  <c r="AU109" i="8"/>
  <c r="AU105" i="8"/>
  <c r="AU101" i="8"/>
  <c r="AU97" i="8"/>
  <c r="AU93" i="8"/>
  <c r="AU89" i="8"/>
  <c r="AU85" i="8"/>
  <c r="AU81" i="8"/>
  <c r="AU77" i="8"/>
  <c r="AU73" i="8"/>
  <c r="AU69" i="8"/>
  <c r="AU65" i="8"/>
  <c r="AU61" i="8"/>
  <c r="AU57" i="8"/>
  <c r="AU53" i="8"/>
  <c r="AU49" i="8"/>
  <c r="AU45" i="8"/>
  <c r="AU41" i="8"/>
  <c r="AU37" i="8"/>
  <c r="AU33" i="8"/>
  <c r="AU29" i="8"/>
  <c r="AU25" i="8"/>
  <c r="AU21" i="8"/>
  <c r="AV207" i="8"/>
  <c r="AV203" i="8"/>
  <c r="AV199" i="8"/>
  <c r="AV195" i="8"/>
  <c r="AV191" i="8"/>
  <c r="AV187" i="8"/>
  <c r="AV183" i="8"/>
  <c r="AV179" i="8"/>
  <c r="AV175" i="8"/>
  <c r="AV171" i="8"/>
  <c r="AV167" i="8"/>
  <c r="AV163" i="8"/>
  <c r="AV159" i="8"/>
  <c r="AV155" i="8"/>
  <c r="AV151" i="8"/>
  <c r="AV147" i="8"/>
  <c r="AV143" i="8"/>
  <c r="AV139" i="8"/>
  <c r="AV135" i="8"/>
  <c r="AV131" i="8"/>
  <c r="AV127" i="8"/>
  <c r="AV123" i="8"/>
  <c r="AV119" i="8"/>
  <c r="AV115" i="8"/>
  <c r="AV111" i="8"/>
  <c r="AV107" i="8"/>
  <c r="AV103" i="8"/>
  <c r="AV99" i="8"/>
  <c r="AV95" i="8"/>
  <c r="AV91" i="8"/>
  <c r="AV87" i="8"/>
  <c r="AV83" i="8"/>
  <c r="AV79" i="8"/>
  <c r="AV75" i="8"/>
  <c r="AV71" i="8"/>
  <c r="AV67" i="8"/>
  <c r="AV63" i="8"/>
  <c r="AV59" i="8"/>
  <c r="AV55" i="8"/>
  <c r="AV51" i="8"/>
  <c r="AV47" i="8"/>
  <c r="AV43" i="8"/>
  <c r="AV39" i="8"/>
  <c r="AV35" i="8"/>
  <c r="AV31" i="8"/>
  <c r="AV27" i="8"/>
  <c r="AV23" i="8"/>
  <c r="AV19" i="8"/>
  <c r="AW209" i="8"/>
  <c r="AW205" i="8"/>
  <c r="AW201" i="8"/>
  <c r="AW197" i="8"/>
  <c r="AW193" i="8"/>
  <c r="AW189" i="8"/>
  <c r="AW185" i="8"/>
  <c r="AW181" i="8"/>
  <c r="AW177" i="8"/>
  <c r="AW173" i="8"/>
  <c r="AW169" i="8"/>
  <c r="AW165" i="8"/>
  <c r="AW161" i="8"/>
  <c r="AW157" i="8"/>
  <c r="AW153" i="8"/>
  <c r="AW149" i="8"/>
  <c r="AW145" i="8"/>
  <c r="AW141" i="8"/>
  <c r="AW137" i="8"/>
  <c r="AW133" i="8"/>
  <c r="AW129" i="8"/>
  <c r="AW125" i="8"/>
  <c r="AW121" i="8"/>
  <c r="AW117" i="8"/>
  <c r="AW113" i="8"/>
  <c r="AW109" i="8"/>
  <c r="AW105" i="8"/>
  <c r="AW101" i="8"/>
  <c r="AW97" i="8"/>
  <c r="AW93" i="8"/>
  <c r="AW89" i="8"/>
  <c r="AW85" i="8"/>
  <c r="AW81" i="8"/>
  <c r="AW77" i="8"/>
  <c r="AW73" i="8"/>
  <c r="AW69" i="8"/>
  <c r="AW65" i="8"/>
  <c r="AW61" i="8"/>
  <c r="AW57" i="8"/>
  <c r="AW53" i="8"/>
  <c r="AW49" i="8"/>
  <c r="AW45" i="8"/>
  <c r="AW41" i="8"/>
  <c r="AW37" i="8"/>
  <c r="AW33" i="8"/>
  <c r="AW29" i="8"/>
  <c r="AW25" i="8"/>
  <c r="AW21" i="8"/>
  <c r="AW17" i="8"/>
  <c r="AX211" i="8"/>
  <c r="AX207" i="8"/>
  <c r="AX203" i="8"/>
  <c r="AX199" i="8"/>
  <c r="AX195" i="8"/>
  <c r="AX191" i="8"/>
  <c r="AX187" i="8"/>
  <c r="AX183" i="8"/>
  <c r="AX179" i="8"/>
  <c r="AX175" i="8"/>
  <c r="AX171" i="8"/>
  <c r="AX167" i="8"/>
  <c r="AX163" i="8"/>
  <c r="AX159" i="8"/>
  <c r="AX155" i="8"/>
  <c r="AX151" i="8"/>
  <c r="AX147" i="8"/>
  <c r="AX143" i="8"/>
  <c r="AX139" i="8"/>
  <c r="AX135" i="8"/>
  <c r="AX131" i="8"/>
  <c r="AX127" i="8"/>
  <c r="AX123" i="8"/>
  <c r="AX119" i="8"/>
  <c r="AX115" i="8"/>
  <c r="AX111" i="8"/>
  <c r="AX107" i="8"/>
  <c r="AX103" i="8"/>
  <c r="AX99" i="8"/>
  <c r="AX95" i="8"/>
  <c r="AX91" i="8"/>
  <c r="AX87" i="8"/>
  <c r="AX83" i="8"/>
  <c r="AX79" i="8"/>
  <c r="AX75" i="8"/>
  <c r="AX71" i="8"/>
  <c r="AX67" i="8"/>
  <c r="AX63" i="8"/>
  <c r="AX59" i="8"/>
  <c r="AX55" i="8"/>
  <c r="AX51" i="8"/>
  <c r="AX47" i="8"/>
  <c r="AX43" i="8"/>
  <c r="AX39" i="8"/>
  <c r="AX35" i="8"/>
  <c r="AX31" i="8"/>
  <c r="AX27" i="8"/>
  <c r="AX23" i="8"/>
  <c r="AX19" i="8"/>
  <c r="AX15" i="8"/>
  <c r="AY213" i="8"/>
  <c r="AY209" i="8"/>
  <c r="AY205" i="8"/>
  <c r="AY201" i="8"/>
  <c r="AY197" i="8"/>
  <c r="AY193" i="8"/>
  <c r="AY189" i="8"/>
  <c r="AY185" i="8"/>
  <c r="AY181" i="8"/>
  <c r="AY177" i="8"/>
  <c r="AY173" i="8"/>
  <c r="AY169" i="8"/>
  <c r="AY165" i="8"/>
  <c r="AY161" i="8"/>
  <c r="AY157" i="8"/>
  <c r="AY153" i="8"/>
  <c r="AY149" i="8"/>
  <c r="AY145" i="8"/>
  <c r="AY141" i="8"/>
  <c r="AY137" i="8"/>
  <c r="AY133" i="8"/>
  <c r="AY129" i="8"/>
  <c r="AY125" i="8"/>
  <c r="AY121" i="8"/>
  <c r="AY117" i="8"/>
  <c r="AY113" i="8"/>
  <c r="AY109" i="8"/>
  <c r="AY105" i="8"/>
  <c r="AY101" i="8"/>
  <c r="AY97" i="8"/>
  <c r="AY93" i="8"/>
  <c r="AY89" i="8"/>
  <c r="AY85" i="8"/>
  <c r="AY81" i="8"/>
  <c r="AY77" i="8"/>
  <c r="AY73" i="8"/>
  <c r="AY69" i="8"/>
  <c r="AY65" i="8"/>
  <c r="AY61" i="8"/>
  <c r="AY57" i="8"/>
  <c r="AY53" i="8"/>
  <c r="AY49" i="8"/>
  <c r="AY45" i="8"/>
  <c r="AY41" i="8"/>
  <c r="AY37" i="8"/>
  <c r="AY33" i="8"/>
  <c r="AY29" i="8"/>
  <c r="AY25" i="8"/>
  <c r="AY21" i="8"/>
  <c r="AY17" i="8"/>
  <c r="AY13" i="8"/>
  <c r="B2" i="8"/>
  <c r="D2" i="8" s="1"/>
  <c r="C5" i="6"/>
  <c r="A31" i="6"/>
  <c r="B33" i="6"/>
  <c r="B29" i="6"/>
  <c r="C35" i="6"/>
  <c r="C31" i="6"/>
  <c r="C27" i="6"/>
  <c r="D37" i="6"/>
  <c r="D33" i="6"/>
  <c r="D29" i="6"/>
  <c r="D25" i="6"/>
  <c r="E39" i="6"/>
  <c r="E35" i="6"/>
  <c r="E31" i="6"/>
  <c r="E27" i="6"/>
  <c r="E23" i="6"/>
  <c r="F41" i="6"/>
  <c r="F37" i="6"/>
  <c r="F33" i="6"/>
  <c r="F29" i="6"/>
  <c r="F25" i="6"/>
  <c r="F21" i="6"/>
  <c r="G43" i="6"/>
  <c r="G39" i="6"/>
  <c r="G35" i="6"/>
  <c r="G31" i="6"/>
  <c r="G27" i="6"/>
  <c r="G23" i="6"/>
  <c r="G19" i="6"/>
  <c r="H45" i="6"/>
  <c r="H41" i="6"/>
  <c r="H37" i="6"/>
  <c r="H33" i="6"/>
  <c r="H29" i="6"/>
  <c r="H25" i="6"/>
  <c r="H21" i="6"/>
  <c r="H17" i="6"/>
  <c r="I47" i="6"/>
  <c r="I43" i="6"/>
  <c r="I39" i="6"/>
  <c r="I35" i="6"/>
  <c r="I31" i="6"/>
  <c r="I27" i="6"/>
  <c r="I23" i="6"/>
  <c r="I19" i="6"/>
  <c r="I15" i="6"/>
  <c r="J49" i="6"/>
  <c r="J45" i="6"/>
  <c r="J41" i="6"/>
  <c r="J37" i="6"/>
  <c r="J33" i="6"/>
  <c r="J29" i="6"/>
  <c r="J25" i="6"/>
  <c r="J21" i="6"/>
  <c r="J17" i="6"/>
  <c r="J13" i="6"/>
  <c r="C4" i="8"/>
  <c r="E4" i="8"/>
  <c r="F2" i="8" l="1"/>
  <c r="R34" i="6"/>
  <c r="S36" i="6" s="1"/>
  <c r="T38" i="6" s="1"/>
  <c r="U40" i="6" s="1"/>
  <c r="V42" i="6" s="1"/>
  <c r="W44" i="6" s="1"/>
  <c r="X46" i="6" s="1"/>
  <c r="Y48" i="6" s="1"/>
  <c r="Y49" i="6" s="1"/>
  <c r="Q32" i="6"/>
  <c r="R30" i="6"/>
  <c r="S32" i="6" s="1"/>
  <c r="T34" i="6" s="1"/>
  <c r="U36" i="6" s="1"/>
  <c r="V38" i="6" s="1"/>
  <c r="W40" i="6" s="1"/>
  <c r="X42" i="6" s="1"/>
  <c r="Y44" i="6" s="1"/>
  <c r="Y45" i="6" s="1"/>
  <c r="X47" i="6" s="1"/>
  <c r="S28" i="6"/>
  <c r="T30" i="6" s="1"/>
  <c r="U32" i="6" s="1"/>
  <c r="V34" i="6" s="1"/>
  <c r="W36" i="6" s="1"/>
  <c r="X38" i="6" s="1"/>
  <c r="Y40" i="6" s="1"/>
  <c r="Y41" i="6" s="1"/>
  <c r="Q28" i="6"/>
  <c r="T26" i="6"/>
  <c r="U28" i="6" s="1"/>
  <c r="V30" i="6" s="1"/>
  <c r="W32" i="6" s="1"/>
  <c r="X34" i="6" s="1"/>
  <c r="Y36" i="6" s="1"/>
  <c r="Y37" i="6" s="1"/>
  <c r="X39" i="6" s="1"/>
  <c r="R26" i="6"/>
  <c r="U24" i="6"/>
  <c r="V26" i="6" s="1"/>
  <c r="W28" i="6" s="1"/>
  <c r="X30" i="6" s="1"/>
  <c r="Y32" i="6" s="1"/>
  <c r="Y33" i="6" s="1"/>
  <c r="X35" i="6" s="1"/>
  <c r="W37" i="6" s="1"/>
  <c r="S24" i="6"/>
  <c r="T22" i="6"/>
  <c r="U20" i="6" s="1"/>
  <c r="H2" i="8" l="1"/>
  <c r="X43" i="6"/>
  <c r="W45" i="6" s="1"/>
  <c r="V18" i="6"/>
  <c r="V22" i="6"/>
  <c r="W24" i="6" s="1"/>
  <c r="X26" i="6" s="1"/>
  <c r="Y28" i="6" s="1"/>
  <c r="Y29" i="6" s="1"/>
  <c r="X31" i="6" s="1"/>
  <c r="W33" i="6" s="1"/>
  <c r="V35" i="6" s="1"/>
  <c r="B2" i="6"/>
  <c r="D2" i="6" s="1"/>
  <c r="F2" i="6" s="1"/>
  <c r="E4" i="6"/>
  <c r="C4" i="6"/>
  <c r="W16" i="6" l="1"/>
  <c r="W20" i="6"/>
  <c r="X22" i="6" s="1"/>
  <c r="Y24" i="6" s="1"/>
  <c r="Y25" i="6" s="1"/>
  <c r="X27" i="6" s="1"/>
  <c r="W29" i="6" s="1"/>
  <c r="V31" i="6" s="1"/>
  <c r="U33" i="6" s="1"/>
  <c r="W41" i="6"/>
  <c r="H2" i="6"/>
  <c r="K15" i="7"/>
  <c r="G20" i="7"/>
  <c r="H20" i="7" s="1"/>
  <c r="I20" i="7" s="1"/>
  <c r="J20" i="7" s="1"/>
  <c r="L20" i="7" s="1"/>
  <c r="K20" i="7"/>
  <c r="K21" i="7"/>
  <c r="K22" i="7"/>
  <c r="K23" i="7"/>
  <c r="K24" i="7"/>
  <c r="K25" i="7"/>
  <c r="K26" i="7"/>
  <c r="K27" i="7"/>
  <c r="K28" i="7"/>
  <c r="K29" i="7"/>
  <c r="K30" i="7"/>
  <c r="K19" i="7"/>
  <c r="H19" i="7"/>
  <c r="I19" i="7" s="1"/>
  <c r="J19" i="7" s="1"/>
  <c r="L19" i="7" s="1"/>
  <c r="G19" i="7"/>
  <c r="H18" i="7"/>
  <c r="I18" i="7" s="1"/>
  <c r="J18" i="7" s="1"/>
  <c r="L18" i="7" s="1"/>
  <c r="K18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60" i="7"/>
  <c r="C61" i="7"/>
  <c r="C62" i="7"/>
  <c r="C63" i="7"/>
  <c r="C64" i="7"/>
  <c r="C65" i="7"/>
  <c r="C66" i="7"/>
  <c r="C67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18" i="7"/>
  <c r="C16" i="7"/>
  <c r="F18" i="7"/>
  <c r="B18" i="7"/>
  <c r="A15" i="7"/>
  <c r="A14" i="7"/>
  <c r="F14" i="7"/>
  <c r="E14" i="7"/>
  <c r="D14" i="7"/>
  <c r="C14" i="7"/>
  <c r="B14" i="7"/>
  <c r="I10" i="7"/>
  <c r="I9" i="7"/>
  <c r="I11" i="7"/>
  <c r="D4" i="7"/>
  <c r="D3" i="7"/>
  <c r="D2" i="7"/>
  <c r="V43" i="6" l="1"/>
  <c r="V39" i="6"/>
  <c r="X14" i="6"/>
  <c r="X18" i="6"/>
  <c r="Y20" i="6" s="1"/>
  <c r="Y21" i="6" s="1"/>
  <c r="X23" i="6" s="1"/>
  <c r="W25" i="6" s="1"/>
  <c r="V27" i="6" s="1"/>
  <c r="U29" i="6" s="1"/>
  <c r="T31" i="6" s="1"/>
  <c r="G21" i="7"/>
  <c r="D18" i="7"/>
  <c r="L16" i="5"/>
  <c r="L15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15" i="5"/>
  <c r="B10" i="3"/>
  <c r="C14" i="3"/>
  <c r="E14" i="3"/>
  <c r="M60" i="5"/>
  <c r="M29" i="5"/>
  <c r="G21" i="5"/>
  <c r="M109" i="5"/>
  <c r="M128" i="5"/>
  <c r="M71" i="5"/>
  <c r="M131" i="5"/>
  <c r="M40" i="5"/>
  <c r="M158" i="5"/>
  <c r="M95" i="5"/>
  <c r="M69" i="5"/>
  <c r="M148" i="5"/>
  <c r="M160" i="5"/>
  <c r="M36" i="5"/>
  <c r="G34" i="5"/>
  <c r="M46" i="5"/>
  <c r="M39" i="5"/>
  <c r="M76" i="5"/>
  <c r="M121" i="5"/>
  <c r="M49" i="5"/>
  <c r="G35" i="5"/>
  <c r="M81" i="5"/>
  <c r="G29" i="5"/>
  <c r="G17" i="5"/>
  <c r="M94" i="5"/>
  <c r="M66" i="5"/>
  <c r="M52" i="5"/>
  <c r="M138" i="5"/>
  <c r="M126" i="5"/>
  <c r="G24" i="5"/>
  <c r="M54" i="5"/>
  <c r="M154" i="5"/>
  <c r="M57" i="5"/>
  <c r="M151" i="5"/>
  <c r="M96" i="5"/>
  <c r="M103" i="5"/>
  <c r="G15" i="5"/>
  <c r="M28" i="5"/>
  <c r="M116" i="5"/>
  <c r="M88" i="5"/>
  <c r="G25" i="5"/>
  <c r="M80" i="5"/>
  <c r="M150" i="5"/>
  <c r="M119" i="5"/>
  <c r="M89" i="5"/>
  <c r="M106" i="5"/>
  <c r="M83" i="5"/>
  <c r="M130" i="5"/>
  <c r="G26" i="5"/>
  <c r="M142" i="5"/>
  <c r="M78" i="5"/>
  <c r="M122" i="5"/>
  <c r="M30" i="5"/>
  <c r="M141" i="5"/>
  <c r="M117" i="5"/>
  <c r="M82" i="5"/>
  <c r="M85" i="5"/>
  <c r="M99" i="5"/>
  <c r="M86" i="5"/>
  <c r="G27" i="5"/>
  <c r="M35" i="5"/>
  <c r="M73" i="5"/>
  <c r="G20" i="5"/>
  <c r="M74" i="5"/>
  <c r="G32" i="5"/>
  <c r="G23" i="5"/>
  <c r="M155" i="5"/>
  <c r="M93" i="5"/>
  <c r="M157" i="5"/>
  <c r="M26" i="5"/>
  <c r="M149" i="5"/>
  <c r="M114" i="5"/>
  <c r="M41" i="5"/>
  <c r="M55" i="5"/>
  <c r="M118" i="5"/>
  <c r="M107" i="5"/>
  <c r="M33" i="5"/>
  <c r="M143" i="5"/>
  <c r="M139" i="5"/>
  <c r="M64" i="5"/>
  <c r="G39" i="5"/>
  <c r="M68" i="5"/>
  <c r="M147" i="5"/>
  <c r="M92" i="5"/>
  <c r="M132" i="5"/>
  <c r="M97" i="5"/>
  <c r="M62" i="5"/>
  <c r="M19" i="5"/>
  <c r="M51" i="5"/>
  <c r="M65" i="5"/>
  <c r="M48" i="5"/>
  <c r="M102" i="5"/>
  <c r="M111" i="5"/>
  <c r="G22" i="5"/>
  <c r="M123" i="5"/>
  <c r="M58" i="5"/>
  <c r="M22" i="5"/>
  <c r="M146" i="5"/>
  <c r="M24" i="5"/>
  <c r="M135" i="5"/>
  <c r="M18" i="5"/>
  <c r="M153" i="5"/>
  <c r="M156" i="5"/>
  <c r="M145" i="5"/>
  <c r="M31" i="5"/>
  <c r="M23" i="5"/>
  <c r="M44" i="5"/>
  <c r="M113" i="5"/>
  <c r="M43" i="5"/>
  <c r="M152" i="5"/>
  <c r="G36" i="5"/>
  <c r="M37" i="5"/>
  <c r="G37" i="5"/>
  <c r="M115" i="5"/>
  <c r="M98" i="5"/>
  <c r="M25" i="5"/>
  <c r="M134" i="5"/>
  <c r="M20" i="5"/>
  <c r="M120" i="5"/>
  <c r="M101" i="5"/>
  <c r="M159" i="5"/>
  <c r="M38" i="5"/>
  <c r="M67" i="5"/>
  <c r="M124" i="5"/>
  <c r="M108" i="5"/>
  <c r="M129" i="5"/>
  <c r="M140" i="5"/>
  <c r="M16" i="5"/>
  <c r="M72" i="5"/>
  <c r="M79" i="5"/>
  <c r="M27" i="5"/>
  <c r="M105" i="5"/>
  <c r="G31" i="5"/>
  <c r="M17" i="5"/>
  <c r="M59" i="5"/>
  <c r="M56" i="5"/>
  <c r="M87" i="5"/>
  <c r="M21" i="5"/>
  <c r="G30" i="5"/>
  <c r="M100" i="5"/>
  <c r="M104" i="5"/>
  <c r="M90" i="5"/>
  <c r="M91" i="5"/>
  <c r="M47" i="5"/>
  <c r="G28" i="5"/>
  <c r="M144" i="5"/>
  <c r="M110" i="5"/>
  <c r="G16" i="5"/>
  <c r="M84" i="5"/>
  <c r="M70" i="5"/>
  <c r="M34" i="5"/>
  <c r="M53" i="5"/>
  <c r="M15" i="5"/>
  <c r="M112" i="5"/>
  <c r="M125" i="5"/>
  <c r="M61" i="5"/>
  <c r="M63" i="5"/>
  <c r="G18" i="5"/>
  <c r="M32" i="5"/>
  <c r="M136" i="5"/>
  <c r="M77" i="5"/>
  <c r="G19" i="5"/>
  <c r="M50" i="5"/>
  <c r="M75" i="5"/>
  <c r="M45" i="5"/>
  <c r="M133" i="5"/>
  <c r="G33" i="5"/>
  <c r="M42" i="5"/>
  <c r="M127" i="5"/>
  <c r="G38" i="5"/>
  <c r="M137" i="5"/>
  <c r="B8" i="5"/>
  <c r="B7" i="5"/>
  <c r="B11" i="5"/>
  <c r="Y12" i="6" l="1"/>
  <c r="Y13" i="6" s="1"/>
  <c r="Y16" i="6"/>
  <c r="Y17" i="6" s="1"/>
  <c r="X19" i="6" s="1"/>
  <c r="W21" i="6" s="1"/>
  <c r="V23" i="6" s="1"/>
  <c r="U25" i="6" s="1"/>
  <c r="T27" i="6" s="1"/>
  <c r="S29" i="6" s="1"/>
  <c r="U41" i="6"/>
  <c r="U37" i="6"/>
  <c r="G22" i="7"/>
  <c r="H21" i="7"/>
  <c r="I21" i="7" s="1"/>
  <c r="J21" i="7" s="1"/>
  <c r="L21" i="7" s="1"/>
  <c r="E18" i="7"/>
  <c r="A19" i="7"/>
  <c r="K14" i="5"/>
  <c r="F14" i="5"/>
  <c r="B14" i="5"/>
  <c r="B9" i="5"/>
  <c r="B10" i="5"/>
  <c r="I10" i="3"/>
  <c r="F15" i="4"/>
  <c r="F17" i="4" s="1"/>
  <c r="E15" i="4"/>
  <c r="E20" i="4" s="1"/>
  <c r="D15" i="4"/>
  <c r="D17" i="4" s="1"/>
  <c r="C15" i="4"/>
  <c r="C20" i="4" s="1"/>
  <c r="B15" i="4"/>
  <c r="B17" i="4" s="1"/>
  <c r="F14" i="4"/>
  <c r="F19" i="4" s="1"/>
  <c r="E14" i="4"/>
  <c r="E16" i="4" s="1"/>
  <c r="D14" i="4"/>
  <c r="D19" i="4" s="1"/>
  <c r="C14" i="4"/>
  <c r="C16" i="4" s="1"/>
  <c r="B14" i="4"/>
  <c r="B19" i="4" s="1"/>
  <c r="F11" i="4"/>
  <c r="E11" i="4"/>
  <c r="D11" i="4"/>
  <c r="C11" i="4"/>
  <c r="B11" i="4"/>
  <c r="F8" i="4"/>
  <c r="E8" i="4"/>
  <c r="D8" i="4"/>
  <c r="C8" i="4"/>
  <c r="B8" i="4"/>
  <c r="C10" i="2"/>
  <c r="D10" i="2"/>
  <c r="D12" i="2" s="1"/>
  <c r="E10" i="2"/>
  <c r="F10" i="2"/>
  <c r="G10" i="2"/>
  <c r="H10" i="2"/>
  <c r="H12" i="2" s="1"/>
  <c r="I10" i="2"/>
  <c r="J10" i="2"/>
  <c r="K10" i="2"/>
  <c r="K12" i="2" s="1"/>
  <c r="L10" i="2"/>
  <c r="M10" i="2"/>
  <c r="N10" i="2"/>
  <c r="O10" i="2"/>
  <c r="O12" i="2" s="1"/>
  <c r="P10" i="2"/>
  <c r="P12" i="2" s="1"/>
  <c r="Q10" i="2"/>
  <c r="R10" i="2"/>
  <c r="S10" i="2"/>
  <c r="T10" i="2"/>
  <c r="T12" i="2" s="1"/>
  <c r="U10" i="2"/>
  <c r="V10" i="2"/>
  <c r="W10" i="2"/>
  <c r="C11" i="2"/>
  <c r="D11" i="2"/>
  <c r="E11" i="2"/>
  <c r="F11" i="2"/>
  <c r="F12" i="2" s="1"/>
  <c r="G11" i="2"/>
  <c r="H11" i="2"/>
  <c r="I11" i="2"/>
  <c r="J11" i="2"/>
  <c r="J12" i="2" s="1"/>
  <c r="K11" i="2"/>
  <c r="L11" i="2"/>
  <c r="M11" i="2"/>
  <c r="N11" i="2"/>
  <c r="N12" i="2" s="1"/>
  <c r="O11" i="2"/>
  <c r="P11" i="2"/>
  <c r="Q11" i="2"/>
  <c r="R11" i="2"/>
  <c r="R12" i="2" s="1"/>
  <c r="S11" i="2"/>
  <c r="T11" i="2"/>
  <c r="U11" i="2"/>
  <c r="V11" i="2"/>
  <c r="V12" i="2" s="1"/>
  <c r="W11" i="2"/>
  <c r="X11" i="2"/>
  <c r="B11" i="2"/>
  <c r="X12" i="2"/>
  <c r="W12" i="2"/>
  <c r="U12" i="2"/>
  <c r="S12" i="2"/>
  <c r="Q12" i="2"/>
  <c r="M12" i="2"/>
  <c r="L12" i="2"/>
  <c r="I12" i="2"/>
  <c r="G12" i="2"/>
  <c r="E12" i="2"/>
  <c r="C12" i="2"/>
  <c r="B12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B7" i="2"/>
  <c r="B10" i="2"/>
  <c r="X10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B8" i="2"/>
  <c r="M20" i="2"/>
  <c r="L19" i="2"/>
  <c r="M15" i="2"/>
  <c r="M17" i="2" s="1"/>
  <c r="L15" i="2"/>
  <c r="L20" i="2" s="1"/>
  <c r="L21" i="2" s="1"/>
  <c r="K15" i="2"/>
  <c r="K20" i="2" s="1"/>
  <c r="M14" i="2"/>
  <c r="M16" i="2" s="1"/>
  <c r="M18" i="2" s="1"/>
  <c r="L14" i="2"/>
  <c r="L16" i="2" s="1"/>
  <c r="K14" i="2"/>
  <c r="K19" i="2" s="1"/>
  <c r="E15" i="2"/>
  <c r="E20" i="2" s="1"/>
  <c r="E21" i="2" s="1"/>
  <c r="D15" i="2"/>
  <c r="D20" i="2" s="1"/>
  <c r="C15" i="2"/>
  <c r="C20" i="2" s="1"/>
  <c r="B15" i="2"/>
  <c r="B20" i="2" s="1"/>
  <c r="E14" i="2"/>
  <c r="E19" i="2" s="1"/>
  <c r="D14" i="2"/>
  <c r="D19" i="2" s="1"/>
  <c r="C14" i="2"/>
  <c r="C19" i="2" s="1"/>
  <c r="B14" i="2"/>
  <c r="B19" i="2" s="1"/>
  <c r="G14" i="2"/>
  <c r="G19" i="2" s="1"/>
  <c r="H14" i="2"/>
  <c r="H16" i="2" s="1"/>
  <c r="I14" i="2"/>
  <c r="I16" i="2" s="1"/>
  <c r="J14" i="2"/>
  <c r="J16" i="2" s="1"/>
  <c r="N14" i="2"/>
  <c r="N19" i="2" s="1"/>
  <c r="O14" i="2"/>
  <c r="O19" i="2" s="1"/>
  <c r="P14" i="2"/>
  <c r="P16" i="2" s="1"/>
  <c r="Q14" i="2"/>
  <c r="Q16" i="2" s="1"/>
  <c r="R14" i="2"/>
  <c r="R19" i="2" s="1"/>
  <c r="S14" i="2"/>
  <c r="S19" i="2" s="1"/>
  <c r="T14" i="2"/>
  <c r="T19" i="2" s="1"/>
  <c r="U14" i="2"/>
  <c r="U16" i="2" s="1"/>
  <c r="V14" i="2"/>
  <c r="V19" i="2" s="1"/>
  <c r="W14" i="2"/>
  <c r="W16" i="2" s="1"/>
  <c r="X14" i="2"/>
  <c r="X19" i="2" s="1"/>
  <c r="G15" i="2"/>
  <c r="G17" i="2" s="1"/>
  <c r="H15" i="2"/>
  <c r="H20" i="2" s="1"/>
  <c r="I15" i="2"/>
  <c r="I17" i="2" s="1"/>
  <c r="J15" i="2"/>
  <c r="J20" i="2" s="1"/>
  <c r="N15" i="2"/>
  <c r="N17" i="2" s="1"/>
  <c r="O15" i="2"/>
  <c r="O20" i="2" s="1"/>
  <c r="P15" i="2"/>
  <c r="P20" i="2" s="1"/>
  <c r="Q15" i="2"/>
  <c r="Q17" i="2" s="1"/>
  <c r="R15" i="2"/>
  <c r="R17" i="2" s="1"/>
  <c r="S15" i="2"/>
  <c r="S20" i="2" s="1"/>
  <c r="T15" i="2"/>
  <c r="T20" i="2" s="1"/>
  <c r="U15" i="2"/>
  <c r="U20" i="2" s="1"/>
  <c r="V15" i="2"/>
  <c r="V17" i="2" s="1"/>
  <c r="W15" i="2"/>
  <c r="W20" i="2" s="1"/>
  <c r="X15" i="2"/>
  <c r="X20" i="2" s="1"/>
  <c r="O16" i="2"/>
  <c r="F15" i="2"/>
  <c r="F17" i="2" s="1"/>
  <c r="F14" i="2"/>
  <c r="F16" i="2" s="1"/>
  <c r="H9" i="3"/>
  <c r="H4" i="3"/>
  <c r="G4" i="3"/>
  <c r="J9" i="3"/>
  <c r="I9" i="3"/>
  <c r="F14" i="3"/>
  <c r="T39" i="6" l="1"/>
  <c r="T35" i="6"/>
  <c r="X15" i="6"/>
  <c r="W17" i="6" s="1"/>
  <c r="V19" i="6" s="1"/>
  <c r="U21" i="6" s="1"/>
  <c r="T23" i="6" s="1"/>
  <c r="S25" i="6" s="1"/>
  <c r="R27" i="6" s="1"/>
  <c r="H22" i="7"/>
  <c r="I22" i="7" s="1"/>
  <c r="J22" i="7" s="1"/>
  <c r="L22" i="7" s="1"/>
  <c r="G23" i="7" s="1"/>
  <c r="F19" i="7"/>
  <c r="B19" i="7"/>
  <c r="D19" i="7" s="1"/>
  <c r="E19" i="7" s="1"/>
  <c r="H14" i="3"/>
  <c r="G14" i="3"/>
  <c r="D14" i="3"/>
  <c r="F20" i="4"/>
  <c r="E17" i="4"/>
  <c r="C19" i="4"/>
  <c r="C21" i="4" s="1"/>
  <c r="C10" i="4" s="1"/>
  <c r="C12" i="4" s="1"/>
  <c r="B16" i="4"/>
  <c r="B18" i="4" s="1"/>
  <c r="B7" i="4" s="1"/>
  <c r="B9" i="4" s="1"/>
  <c r="B20" i="4"/>
  <c r="B21" i="4" s="1"/>
  <c r="B10" i="4" s="1"/>
  <c r="B12" i="4" s="1"/>
  <c r="E18" i="4"/>
  <c r="E7" i="4" s="1"/>
  <c r="E9" i="4" s="1"/>
  <c r="F16" i="4"/>
  <c r="F18" i="4"/>
  <c r="F7" i="4" s="1"/>
  <c r="F9" i="4" s="1"/>
  <c r="F21" i="4"/>
  <c r="F10" i="4" s="1"/>
  <c r="F12" i="4" s="1"/>
  <c r="D16" i="4"/>
  <c r="D18" i="4" s="1"/>
  <c r="D7" i="4" s="1"/>
  <c r="D9" i="4" s="1"/>
  <c r="C17" i="4"/>
  <c r="C18" i="4" s="1"/>
  <c r="C7" i="4" s="1"/>
  <c r="C9" i="4" s="1"/>
  <c r="E19" i="4"/>
  <c r="E21" i="4" s="1"/>
  <c r="E10" i="4" s="1"/>
  <c r="E12" i="4" s="1"/>
  <c r="D20" i="4"/>
  <c r="D21" i="4" s="1"/>
  <c r="D10" i="4" s="1"/>
  <c r="D12" i="4" s="1"/>
  <c r="K17" i="2"/>
  <c r="V16" i="2"/>
  <c r="V18" i="2" s="1"/>
  <c r="M9" i="2"/>
  <c r="M19" i="2"/>
  <c r="M21" i="2" s="1"/>
  <c r="K21" i="2"/>
  <c r="L9" i="2"/>
  <c r="K16" i="2"/>
  <c r="L17" i="2"/>
  <c r="L18" i="2" s="1"/>
  <c r="B21" i="2"/>
  <c r="C21" i="2"/>
  <c r="D21" i="2"/>
  <c r="B16" i="2"/>
  <c r="B17" i="2"/>
  <c r="C16" i="2"/>
  <c r="C17" i="2"/>
  <c r="D16" i="2"/>
  <c r="D17" i="2"/>
  <c r="E16" i="2"/>
  <c r="E17" i="2"/>
  <c r="F9" i="2"/>
  <c r="P17" i="2"/>
  <c r="P9" i="2" s="1"/>
  <c r="U17" i="2"/>
  <c r="U18" i="2" s="1"/>
  <c r="T16" i="2"/>
  <c r="O21" i="2"/>
  <c r="T17" i="2"/>
  <c r="S21" i="2"/>
  <c r="S17" i="2"/>
  <c r="S16" i="2"/>
  <c r="G20" i="2"/>
  <c r="G21" i="2" s="1"/>
  <c r="W17" i="2"/>
  <c r="W18" i="2" s="1"/>
  <c r="N16" i="2"/>
  <c r="N18" i="2" s="1"/>
  <c r="V20" i="2"/>
  <c r="V21" i="2" s="1"/>
  <c r="U19" i="2"/>
  <c r="U21" i="2" s="1"/>
  <c r="O17" i="2"/>
  <c r="O18" i="2" s="1"/>
  <c r="G16" i="2"/>
  <c r="G18" i="2" s="1"/>
  <c r="R20" i="2"/>
  <c r="R21" i="2" s="1"/>
  <c r="Q19" i="2"/>
  <c r="O9" i="2"/>
  <c r="F18" i="2"/>
  <c r="H17" i="2"/>
  <c r="H9" i="2" s="1"/>
  <c r="R16" i="2"/>
  <c r="R18" i="2" s="1"/>
  <c r="N20" i="2"/>
  <c r="N21" i="2" s="1"/>
  <c r="J19" i="2"/>
  <c r="J21" i="2" s="1"/>
  <c r="P18" i="2"/>
  <c r="I9" i="2"/>
  <c r="I18" i="2"/>
  <c r="X21" i="2"/>
  <c r="T21" i="2"/>
  <c r="W9" i="2"/>
  <c r="H18" i="2"/>
  <c r="F20" i="2"/>
  <c r="X16" i="2"/>
  <c r="Q20" i="2"/>
  <c r="P19" i="2"/>
  <c r="P21" i="2" s="1"/>
  <c r="I19" i="2"/>
  <c r="X17" i="2"/>
  <c r="J17" i="2"/>
  <c r="J9" i="2" s="1"/>
  <c r="I20" i="2"/>
  <c r="W19" i="2"/>
  <c r="W21" i="2" s="1"/>
  <c r="H19" i="2"/>
  <c r="H21" i="2" s="1"/>
  <c r="V9" i="2"/>
  <c r="U9" i="2"/>
  <c r="Q9" i="2"/>
  <c r="Q18" i="2"/>
  <c r="F19" i="2"/>
  <c r="G65" i="1"/>
  <c r="F65" i="1"/>
  <c r="E65" i="1"/>
  <c r="D65" i="1"/>
  <c r="F54" i="1"/>
  <c r="E54" i="1"/>
  <c r="D47" i="1"/>
  <c r="D48" i="1" s="1"/>
  <c r="D46" i="1"/>
  <c r="H67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D45" i="1" s="1"/>
  <c r="H39" i="1"/>
  <c r="G39" i="1"/>
  <c r="F41" i="1"/>
  <c r="F39" i="1"/>
  <c r="F38" i="1"/>
  <c r="D38" i="1"/>
  <c r="F37" i="1"/>
  <c r="E37" i="1"/>
  <c r="D21" i="1"/>
  <c r="D22" i="1" s="1"/>
  <c r="D20" i="1"/>
  <c r="D19" i="1"/>
  <c r="E19" i="1" s="1"/>
  <c r="D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E18" i="1"/>
  <c r="F18" i="1" s="1"/>
  <c r="C17" i="1"/>
  <c r="C18" i="1"/>
  <c r="D17" i="1"/>
  <c r="E17" i="1" s="1"/>
  <c r="F17" i="1" s="1"/>
  <c r="G17" i="1" s="1"/>
  <c r="B17" i="1"/>
  <c r="B14" i="1"/>
  <c r="C11" i="1"/>
  <c r="B10" i="1"/>
  <c r="B11" i="1"/>
  <c r="B13" i="1"/>
  <c r="B9" i="1"/>
  <c r="S37" i="6" l="1"/>
  <c r="S33" i="6"/>
  <c r="G24" i="7"/>
  <c r="H23" i="7"/>
  <c r="I23" i="7" s="1"/>
  <c r="J23" i="7" s="1"/>
  <c r="L23" i="7" s="1"/>
  <c r="A20" i="7"/>
  <c r="B20" i="7" s="1"/>
  <c r="D20" i="7" s="1"/>
  <c r="E20" i="7" s="1"/>
  <c r="F20" i="7"/>
  <c r="I14" i="3"/>
  <c r="B15" i="3" s="1"/>
  <c r="K9" i="2"/>
  <c r="K18" i="2"/>
  <c r="D18" i="2"/>
  <c r="D9" i="2"/>
  <c r="B18" i="2"/>
  <c r="B9" i="2"/>
  <c r="E18" i="2"/>
  <c r="E9" i="2"/>
  <c r="C18" i="2"/>
  <c r="C9" i="2"/>
  <c r="G9" i="2"/>
  <c r="N9" i="2"/>
  <c r="T18" i="2"/>
  <c r="S18" i="2"/>
  <c r="S9" i="2"/>
  <c r="T9" i="2"/>
  <c r="I21" i="2"/>
  <c r="R9" i="2"/>
  <c r="Q21" i="2"/>
  <c r="J18" i="2"/>
  <c r="F21" i="2"/>
  <c r="X9" i="2"/>
  <c r="X18" i="2"/>
  <c r="D49" i="1"/>
  <c r="E46" i="1"/>
  <c r="E47" i="1"/>
  <c r="E45" i="1"/>
  <c r="F45" i="1" s="1"/>
  <c r="D23" i="1"/>
  <c r="D24" i="1"/>
  <c r="D25" i="1" s="1"/>
  <c r="E21" i="1"/>
  <c r="G18" i="1"/>
  <c r="F19" i="1" s="1"/>
  <c r="E20" i="1"/>
  <c r="B12" i="1"/>
  <c r="E15" i="3"/>
  <c r="F15" i="3"/>
  <c r="C15" i="3"/>
  <c r="R35" i="6" l="1"/>
  <c r="R31" i="6"/>
  <c r="H24" i="7"/>
  <c r="I24" i="7" s="1"/>
  <c r="J24" i="7" s="1"/>
  <c r="L24" i="7" s="1"/>
  <c r="G25" i="7" s="1"/>
  <c r="A21" i="7"/>
  <c r="D15" i="3"/>
  <c r="G15" i="3"/>
  <c r="H15" i="3"/>
  <c r="D50" i="1"/>
  <c r="G45" i="1"/>
  <c r="F46" i="1" s="1"/>
  <c r="D26" i="1"/>
  <c r="G19" i="1"/>
  <c r="F20" i="1"/>
  <c r="G20" i="1"/>
  <c r="F21" i="1" s="1"/>
  <c r="Q33" i="6" l="1"/>
  <c r="Q29" i="6"/>
  <c r="P31" i="6" s="1"/>
  <c r="H25" i="7"/>
  <c r="I25" i="7" s="1"/>
  <c r="J25" i="7" s="1"/>
  <c r="L25" i="7" s="1"/>
  <c r="G26" i="7" s="1"/>
  <c r="B21" i="7"/>
  <c r="D21" i="7" s="1"/>
  <c r="E21" i="7" s="1"/>
  <c r="F21" i="7"/>
  <c r="I15" i="3"/>
  <c r="B16" i="3" s="1"/>
  <c r="D51" i="1"/>
  <c r="E48" i="1"/>
  <c r="E49" i="1"/>
  <c r="G46" i="1"/>
  <c r="F47" i="1" s="1"/>
  <c r="D28" i="1"/>
  <c r="D27" i="1"/>
  <c r="E22" i="1"/>
  <c r="G21" i="1"/>
  <c r="C16" i="3"/>
  <c r="F16" i="3"/>
  <c r="E16" i="3"/>
  <c r="H26" i="7" l="1"/>
  <c r="I26" i="7" s="1"/>
  <c r="J26" i="7" s="1"/>
  <c r="L26" i="7" s="1"/>
  <c r="G27" i="7" s="1"/>
  <c r="A22" i="7"/>
  <c r="D16" i="3"/>
  <c r="G16" i="3"/>
  <c r="H16" i="3"/>
  <c r="D52" i="1"/>
  <c r="E50" i="1"/>
  <c r="G47" i="1"/>
  <c r="F48" i="1" s="1"/>
  <c r="D29" i="1"/>
  <c r="F22" i="1"/>
  <c r="E23" i="1"/>
  <c r="G22" i="1"/>
  <c r="H27" i="7" l="1"/>
  <c r="I27" i="7" s="1"/>
  <c r="J27" i="7" s="1"/>
  <c r="L27" i="7" s="1"/>
  <c r="G28" i="7" s="1"/>
  <c r="B22" i="7"/>
  <c r="D22" i="7" s="1"/>
  <c r="E22" i="7" s="1"/>
  <c r="F22" i="7"/>
  <c r="I16" i="3"/>
  <c r="B17" i="3" s="1"/>
  <c r="D53" i="1"/>
  <c r="E51" i="1"/>
  <c r="G48" i="1"/>
  <c r="F49" i="1" s="1"/>
  <c r="D30" i="1"/>
  <c r="D31" i="1"/>
  <c r="F23" i="1"/>
  <c r="G23" i="1" s="1"/>
  <c r="E24" i="1"/>
  <c r="C17" i="3"/>
  <c r="F17" i="3"/>
  <c r="E17" i="3"/>
  <c r="H28" i="7" l="1"/>
  <c r="I28" i="7" s="1"/>
  <c r="J28" i="7" s="1"/>
  <c r="L28" i="7" s="1"/>
  <c r="G29" i="7"/>
  <c r="A23" i="7"/>
  <c r="F23" i="7" s="1"/>
  <c r="D17" i="3"/>
  <c r="G17" i="3"/>
  <c r="H17" i="3"/>
  <c r="D54" i="1"/>
  <c r="E52" i="1"/>
  <c r="G49" i="1"/>
  <c r="F50" i="1" s="1"/>
  <c r="D32" i="1"/>
  <c r="D33" i="1" s="1"/>
  <c r="D34" i="1" s="1"/>
  <c r="D35" i="1" s="1"/>
  <c r="D36" i="1" s="1"/>
  <c r="F24" i="1"/>
  <c r="G24" i="1" s="1"/>
  <c r="E25" i="1"/>
  <c r="H29" i="7" l="1"/>
  <c r="I29" i="7" s="1"/>
  <c r="J29" i="7" s="1"/>
  <c r="L29" i="7" s="1"/>
  <c r="G30" i="7" s="1"/>
  <c r="H30" i="7" s="1"/>
  <c r="I30" i="7" s="1"/>
  <c r="J30" i="7" s="1"/>
  <c r="L30" i="7" s="1"/>
  <c r="B23" i="7"/>
  <c r="D23" i="7" s="1"/>
  <c r="E23" i="7" s="1"/>
  <c r="I17" i="3"/>
  <c r="D56" i="1"/>
  <c r="D57" i="1" s="1"/>
  <c r="D58" i="1" s="1"/>
  <c r="D59" i="1" s="1"/>
  <c r="D60" i="1" s="1"/>
  <c r="D61" i="1" s="1"/>
  <c r="D62" i="1" s="1"/>
  <c r="D63" i="1" s="1"/>
  <c r="D64" i="1" s="1"/>
  <c r="D55" i="1"/>
  <c r="E53" i="1"/>
  <c r="G50" i="1"/>
  <c r="F51" i="1" s="1"/>
  <c r="F25" i="1"/>
  <c r="G25" i="1" s="1"/>
  <c r="E26" i="1"/>
  <c r="A24" i="7" l="1"/>
  <c r="G51" i="1"/>
  <c r="F52" i="1" s="1"/>
  <c r="F26" i="1"/>
  <c r="G26" i="1" s="1"/>
  <c r="E27" i="1"/>
  <c r="B24" i="7" l="1"/>
  <c r="D24" i="7" s="1"/>
  <c r="E24" i="7" s="1"/>
  <c r="F24" i="7"/>
  <c r="E55" i="1"/>
  <c r="G52" i="1"/>
  <c r="F53" i="1" s="1"/>
  <c r="F27" i="1"/>
  <c r="G27" i="1" s="1"/>
  <c r="E28" i="1"/>
  <c r="A25" i="7" l="1"/>
  <c r="E57" i="1"/>
  <c r="G53" i="1"/>
  <c r="F28" i="1"/>
  <c r="G28" i="1" s="1"/>
  <c r="E29" i="1"/>
  <c r="B25" i="7" l="1"/>
  <c r="D25" i="7" s="1"/>
  <c r="E25" i="7" s="1"/>
  <c r="F25" i="7"/>
  <c r="E58" i="1"/>
  <c r="E56" i="1"/>
  <c r="G54" i="1"/>
  <c r="F55" i="1" s="1"/>
  <c r="F29" i="1"/>
  <c r="G29" i="1" s="1"/>
  <c r="E30" i="1"/>
  <c r="A26" i="7" l="1"/>
  <c r="E60" i="1"/>
  <c r="G55" i="1"/>
  <c r="F56" i="1" s="1"/>
  <c r="F30" i="1"/>
  <c r="G30" i="1" s="1"/>
  <c r="E31" i="1"/>
  <c r="F26" i="7" l="1"/>
  <c r="B26" i="7"/>
  <c r="D26" i="7" s="1"/>
  <c r="E26" i="7" s="1"/>
  <c r="E59" i="1"/>
  <c r="G56" i="1"/>
  <c r="F57" i="1" s="1"/>
  <c r="F31" i="1"/>
  <c r="G31" i="1" s="1"/>
  <c r="E32" i="1"/>
  <c r="A27" i="7" l="1"/>
  <c r="E61" i="1"/>
  <c r="G57" i="1"/>
  <c r="F58" i="1" s="1"/>
  <c r="F32" i="1"/>
  <c r="G32" i="1" s="1"/>
  <c r="E33" i="1"/>
  <c r="F27" i="7" l="1"/>
  <c r="B27" i="7"/>
  <c r="D27" i="7" s="1"/>
  <c r="E27" i="7" s="1"/>
  <c r="E62" i="1"/>
  <c r="G58" i="1"/>
  <c r="F59" i="1" s="1"/>
  <c r="F33" i="1"/>
  <c r="E34" i="1"/>
  <c r="G33" i="1"/>
  <c r="A28" i="7" l="1"/>
  <c r="E64" i="1"/>
  <c r="E63" i="1"/>
  <c r="G59" i="1"/>
  <c r="F60" i="1" s="1"/>
  <c r="F34" i="1"/>
  <c r="E35" i="1"/>
  <c r="E36" i="1"/>
  <c r="G34" i="1"/>
  <c r="B28" i="7" l="1"/>
  <c r="D28" i="7" s="1"/>
  <c r="E28" i="7" s="1"/>
  <c r="F28" i="7"/>
  <c r="D66" i="1"/>
  <c r="F66" i="1" s="1"/>
  <c r="G60" i="1"/>
  <c r="F61" i="1" s="1"/>
  <c r="F35" i="1"/>
  <c r="G35" i="1" s="1"/>
  <c r="F36" i="1" s="1"/>
  <c r="G36" i="1" s="1"/>
  <c r="A29" i="7" l="1"/>
  <c r="G61" i="1"/>
  <c r="F62" i="1" s="1"/>
  <c r="F29" i="7" l="1"/>
  <c r="B29" i="7"/>
  <c r="D29" i="7" s="1"/>
  <c r="E29" i="7" s="1"/>
  <c r="G62" i="1"/>
  <c r="F63" i="1" s="1"/>
  <c r="A30" i="7" l="1"/>
  <c r="G63" i="1"/>
  <c r="F64" i="1" s="1"/>
  <c r="F30" i="7" l="1"/>
  <c r="B30" i="7"/>
  <c r="D30" i="7" s="1"/>
  <c r="E30" i="7" s="1"/>
  <c r="G64" i="1"/>
  <c r="F67" i="1" s="1"/>
  <c r="A31" i="7" l="1"/>
  <c r="F69" i="1"/>
  <c r="G67" i="1"/>
  <c r="F31" i="7" l="1"/>
  <c r="B31" i="7"/>
  <c r="D31" i="7" s="1"/>
  <c r="E31" i="7" s="1"/>
  <c r="A32" i="7" l="1"/>
  <c r="F32" i="7" l="1"/>
  <c r="B32" i="7"/>
  <c r="D32" i="7" s="1"/>
  <c r="E32" i="7" s="1"/>
  <c r="A33" i="7" l="1"/>
  <c r="F33" i="7" l="1"/>
  <c r="B33" i="7"/>
  <c r="D33" i="7" s="1"/>
  <c r="E33" i="7" s="1"/>
  <c r="A34" i="7" l="1"/>
  <c r="B34" i="7" l="1"/>
  <c r="D34" i="7" s="1"/>
  <c r="E34" i="7" s="1"/>
  <c r="F34" i="7"/>
  <c r="A35" i="7" l="1"/>
  <c r="B35" i="7" l="1"/>
  <c r="D35" i="7" s="1"/>
  <c r="E35" i="7" s="1"/>
  <c r="F35" i="7"/>
  <c r="A36" i="7" l="1"/>
  <c r="B36" i="7" l="1"/>
  <c r="D36" i="7" s="1"/>
  <c r="E36" i="7" s="1"/>
  <c r="F36" i="7"/>
  <c r="A37" i="7" l="1"/>
  <c r="F37" i="7" l="1"/>
  <c r="B37" i="7"/>
  <c r="D37" i="7" s="1"/>
  <c r="E37" i="7" s="1"/>
  <c r="A38" i="7" l="1"/>
  <c r="F38" i="7" l="1"/>
  <c r="B38" i="7"/>
  <c r="D38" i="7" s="1"/>
  <c r="E38" i="7" s="1"/>
  <c r="A39" i="7" l="1"/>
  <c r="F39" i="7" l="1"/>
  <c r="B39" i="7"/>
  <c r="D39" i="7" s="1"/>
  <c r="E39" i="7" s="1"/>
  <c r="A40" i="7" l="1"/>
  <c r="F40" i="7" l="1"/>
  <c r="B40" i="7"/>
  <c r="D40" i="7" s="1"/>
  <c r="E40" i="7" s="1"/>
  <c r="A41" i="7" l="1"/>
  <c r="B41" i="7" l="1"/>
  <c r="D41" i="7" s="1"/>
  <c r="E41" i="7" s="1"/>
  <c r="F41" i="7"/>
  <c r="A42" i="7" l="1"/>
  <c r="F42" i="7" l="1"/>
  <c r="B42" i="7"/>
  <c r="D42" i="7" s="1"/>
  <c r="E42" i="7" s="1"/>
  <c r="A43" i="7" l="1"/>
  <c r="B43" i="7" l="1"/>
  <c r="D43" i="7" s="1"/>
  <c r="E43" i="7" s="1"/>
  <c r="F43" i="7"/>
  <c r="A44" i="7" l="1"/>
  <c r="F44" i="7" s="1"/>
  <c r="B44" i="7" l="1"/>
  <c r="D44" i="7" s="1"/>
  <c r="E44" i="7" s="1"/>
  <c r="A45" i="7"/>
  <c r="B45" i="7" l="1"/>
  <c r="D45" i="7" s="1"/>
  <c r="E45" i="7" s="1"/>
  <c r="F45" i="7"/>
  <c r="A46" i="7" l="1"/>
  <c r="F46" i="7" l="1"/>
  <c r="B46" i="7"/>
  <c r="D46" i="7" s="1"/>
  <c r="E46" i="7" s="1"/>
  <c r="A47" i="7" l="1"/>
  <c r="B47" i="7" s="1"/>
  <c r="D47" i="7" s="1"/>
  <c r="E47" i="7" s="1"/>
  <c r="F47" i="7"/>
  <c r="A48" i="7" l="1"/>
  <c r="F48" i="7" s="1"/>
  <c r="B48" i="7"/>
  <c r="D48" i="7" s="1"/>
  <c r="E48" i="7" s="1"/>
  <c r="A49" i="7" l="1"/>
  <c r="B49" i="7" l="1"/>
  <c r="D49" i="7" s="1"/>
  <c r="E49" i="7" s="1"/>
  <c r="F49" i="7"/>
  <c r="A50" i="7" l="1"/>
  <c r="B50" i="7" l="1"/>
  <c r="D50" i="7" s="1"/>
  <c r="E50" i="7" s="1"/>
  <c r="F50" i="7"/>
  <c r="A51" i="7" l="1"/>
  <c r="F51" i="7" s="1"/>
  <c r="B51" i="7"/>
  <c r="D51" i="7" s="1"/>
  <c r="E51" i="7" s="1"/>
  <c r="A52" i="7" l="1"/>
  <c r="B52" i="7"/>
  <c r="D52" i="7" s="1"/>
  <c r="E52" i="7" s="1"/>
  <c r="F52" i="7"/>
  <c r="A53" i="7" l="1"/>
  <c r="B53" i="7" l="1"/>
  <c r="D53" i="7" s="1"/>
  <c r="E53" i="7" s="1"/>
  <c r="F53" i="7"/>
  <c r="A54" i="7" l="1"/>
  <c r="B54" i="7" l="1"/>
  <c r="D54" i="7" s="1"/>
  <c r="E54" i="7" s="1"/>
  <c r="F54" i="7"/>
  <c r="A55" i="7" l="1"/>
  <c r="B55" i="7" l="1"/>
  <c r="D55" i="7" s="1"/>
  <c r="E55" i="7" s="1"/>
  <c r="F55" i="7"/>
  <c r="A56" i="7" l="1"/>
  <c r="B56" i="7" l="1"/>
  <c r="D56" i="7" s="1"/>
  <c r="E56" i="7" s="1"/>
  <c r="F56" i="7"/>
  <c r="A57" i="7" l="1"/>
  <c r="B57" i="7" l="1"/>
  <c r="D57" i="7" s="1"/>
  <c r="E57" i="7" s="1"/>
  <c r="F57" i="7"/>
  <c r="A58" i="7" l="1"/>
  <c r="B58" i="7" l="1"/>
  <c r="D58" i="7" s="1"/>
  <c r="E58" i="7" s="1"/>
  <c r="F58" i="7"/>
  <c r="A59" i="7" l="1"/>
  <c r="B59" i="7" l="1"/>
  <c r="D59" i="7" s="1"/>
  <c r="E59" i="7" s="1"/>
  <c r="F59" i="7"/>
  <c r="A60" i="7" l="1"/>
  <c r="F60" i="7"/>
  <c r="B60" i="7"/>
  <c r="D60" i="7" s="1"/>
  <c r="E60" i="7" s="1"/>
  <c r="A61" i="7" l="1"/>
  <c r="B61" i="7"/>
  <c r="D61" i="7" s="1"/>
  <c r="E61" i="7" s="1"/>
  <c r="F61" i="7"/>
  <c r="A62" i="7" l="1"/>
  <c r="B62" i="7" l="1"/>
  <c r="D62" i="7" s="1"/>
  <c r="E62" i="7" s="1"/>
  <c r="F62" i="7"/>
  <c r="A63" i="7" l="1"/>
  <c r="B63" i="7" l="1"/>
  <c r="D63" i="7" s="1"/>
  <c r="E63" i="7" s="1"/>
  <c r="F63" i="7"/>
  <c r="A64" i="7" l="1"/>
  <c r="B64" i="7" l="1"/>
  <c r="D64" i="7" s="1"/>
  <c r="E64" i="7" s="1"/>
  <c r="F64" i="7"/>
  <c r="A65" i="7" l="1"/>
  <c r="B65" i="7" l="1"/>
  <c r="D65" i="7" s="1"/>
  <c r="E65" i="7" s="1"/>
  <c r="F65" i="7"/>
  <c r="A66" i="7" l="1"/>
  <c r="B66" i="7" l="1"/>
  <c r="D66" i="7" s="1"/>
  <c r="E66" i="7" s="1"/>
  <c r="F66" i="7"/>
  <c r="A67" i="7" l="1"/>
  <c r="B67" i="7" l="1"/>
  <c r="D67" i="7" s="1"/>
  <c r="E67" i="7" s="1"/>
  <c r="F67" i="7"/>
  <c r="A68" i="7" l="1"/>
  <c r="F68" i="7" s="1"/>
  <c r="B68" i="7"/>
  <c r="D68" i="7" s="1"/>
  <c r="E68" i="7" s="1"/>
  <c r="A69" i="7" l="1"/>
  <c r="F69" i="7" l="1"/>
  <c r="B69" i="7"/>
  <c r="D69" i="7" s="1"/>
  <c r="E69" i="7" s="1"/>
  <c r="A70" i="7" l="1"/>
  <c r="B70" i="7" s="1"/>
  <c r="D70" i="7" s="1"/>
  <c r="E70" i="7" s="1"/>
  <c r="F70" i="7"/>
  <c r="A71" i="7" l="1"/>
  <c r="B71" i="7" s="1"/>
  <c r="D71" i="7" s="1"/>
  <c r="E71" i="7" s="1"/>
  <c r="F71" i="7" l="1"/>
  <c r="A72" i="7" s="1"/>
  <c r="F72" i="7" l="1"/>
  <c r="B72" i="7"/>
  <c r="D72" i="7" s="1"/>
  <c r="E72" i="7" s="1"/>
  <c r="A73" i="7" l="1"/>
  <c r="F73" i="7"/>
  <c r="B73" i="7"/>
  <c r="D73" i="7" s="1"/>
  <c r="E73" i="7" s="1"/>
  <c r="A74" i="7" l="1"/>
  <c r="B74" i="7" s="1"/>
  <c r="D74" i="7" s="1"/>
  <c r="E74" i="7" s="1"/>
  <c r="F74" i="7" l="1"/>
  <c r="A75" i="7" s="1"/>
  <c r="B75" i="7" s="1"/>
  <c r="D75" i="7" s="1"/>
  <c r="E75" i="7" s="1"/>
  <c r="F75" i="7"/>
  <c r="A76" i="7" l="1"/>
  <c r="B76" i="7" s="1"/>
  <c r="D76" i="7" s="1"/>
  <c r="E76" i="7" s="1"/>
  <c r="F76" i="7"/>
  <c r="A77" i="7" l="1"/>
  <c r="B77" i="7" s="1"/>
  <c r="D77" i="7" s="1"/>
  <c r="E77" i="7" s="1"/>
  <c r="F77" i="7"/>
  <c r="A78" i="7" l="1"/>
  <c r="B78" i="7" s="1"/>
  <c r="D78" i="7" s="1"/>
  <c r="E78" i="7" s="1"/>
  <c r="F78" i="7"/>
  <c r="A79" i="7" l="1"/>
  <c r="F79" i="7" s="1"/>
  <c r="B79" i="7"/>
  <c r="D79" i="7" s="1"/>
  <c r="E79" i="7" s="1"/>
  <c r="A80" i="7" l="1"/>
  <c r="F80" i="7" l="1"/>
  <c r="B80" i="7"/>
  <c r="D80" i="7" s="1"/>
  <c r="E80" i="7" s="1"/>
  <c r="A81" i="7" l="1"/>
  <c r="F81" i="7"/>
  <c r="B81" i="7"/>
  <c r="D81" i="7" s="1"/>
  <c r="E81" i="7" s="1"/>
  <c r="A82" i="7" l="1"/>
  <c r="F82" i="7"/>
  <c r="B82" i="7"/>
  <c r="D82" i="7" s="1"/>
  <c r="E82" i="7" s="1"/>
  <c r="A83" i="7" l="1"/>
  <c r="B83" i="7" s="1"/>
  <c r="D83" i="7" s="1"/>
  <c r="E83" i="7" s="1"/>
  <c r="F83" i="7"/>
  <c r="A84" i="7" l="1"/>
  <c r="B84" i="7" s="1"/>
  <c r="D84" i="7" s="1"/>
  <c r="E84" i="7" s="1"/>
  <c r="F84" i="7"/>
  <c r="A85" i="7" l="1"/>
  <c r="F85" i="7" s="1"/>
  <c r="B85" i="7"/>
  <c r="D85" i="7" s="1"/>
  <c r="E85" i="7" s="1"/>
  <c r="A86" i="7" l="1"/>
  <c r="F86" i="7" l="1"/>
  <c r="B86" i="7"/>
  <c r="D86" i="7" s="1"/>
  <c r="E86" i="7" s="1"/>
  <c r="A87" i="7" l="1"/>
  <c r="B87" i="7" l="1"/>
  <c r="D87" i="7" s="1"/>
  <c r="E87" i="7" s="1"/>
  <c r="F87" i="7"/>
  <c r="A88" i="7" l="1"/>
  <c r="F88" i="7" l="1"/>
  <c r="B88" i="7"/>
  <c r="D88" i="7" s="1"/>
  <c r="E88" i="7" s="1"/>
  <c r="A89" i="7" l="1"/>
  <c r="F89" i="7" l="1"/>
  <c r="B89" i="7"/>
  <c r="D89" i="7" s="1"/>
  <c r="E89" i="7" s="1"/>
  <c r="A90" i="7" l="1"/>
  <c r="F90" i="7"/>
  <c r="B90" i="7"/>
  <c r="D90" i="7" s="1"/>
  <c r="E90" i="7" s="1"/>
  <c r="A91" i="7" l="1"/>
  <c r="F91" i="7"/>
  <c r="B91" i="7"/>
  <c r="D91" i="7" s="1"/>
  <c r="E91" i="7" s="1"/>
  <c r="A92" i="7" l="1"/>
  <c r="F92" i="7"/>
  <c r="B92" i="7"/>
  <c r="D92" i="7" s="1"/>
  <c r="E92" i="7" s="1"/>
  <c r="A93" i="7" l="1"/>
  <c r="B93" i="7"/>
  <c r="D93" i="7" s="1"/>
  <c r="E93" i="7" s="1"/>
  <c r="F93" i="7"/>
  <c r="A94" i="7" l="1"/>
  <c r="B94" i="7" l="1"/>
  <c r="D94" i="7" s="1"/>
  <c r="E94" i="7" s="1"/>
  <c r="F94" i="7"/>
  <c r="A95" i="7" l="1"/>
  <c r="F95" i="7" l="1"/>
  <c r="B95" i="7"/>
  <c r="D95" i="7" s="1"/>
  <c r="E95" i="7" s="1"/>
  <c r="A96" i="7" l="1"/>
  <c r="F96" i="7" s="1"/>
  <c r="B96" i="7"/>
  <c r="D96" i="7" s="1"/>
  <c r="E96" i="7" s="1"/>
  <c r="A97" i="7" l="1"/>
  <c r="B97" i="7" l="1"/>
  <c r="D97" i="7" s="1"/>
  <c r="E97" i="7" s="1"/>
  <c r="F97" i="7"/>
  <c r="A98" i="7" l="1"/>
  <c r="B98" i="7" l="1"/>
  <c r="D98" i="7" s="1"/>
  <c r="E98" i="7" s="1"/>
  <c r="F98" i="7"/>
  <c r="A99" i="7" l="1"/>
  <c r="B99" i="7" l="1"/>
  <c r="D99" i="7" s="1"/>
  <c r="E99" i="7" s="1"/>
  <c r="F99" i="7"/>
  <c r="A100" i="7" l="1"/>
  <c r="B100" i="7" l="1"/>
  <c r="D100" i="7" s="1"/>
  <c r="E100" i="7" s="1"/>
  <c r="F100" i="7"/>
  <c r="A101" i="7" l="1"/>
  <c r="F101" i="7" l="1"/>
  <c r="B101" i="7"/>
  <c r="D101" i="7" s="1"/>
  <c r="E101" i="7" s="1"/>
  <c r="A102" i="7" l="1"/>
  <c r="B102" i="7"/>
  <c r="D102" i="7" s="1"/>
  <c r="E102" i="7" s="1"/>
  <c r="F102" i="7"/>
  <c r="A103" i="7" l="1"/>
  <c r="F103" i="7" l="1"/>
  <c r="B103" i="7"/>
  <c r="D103" i="7" s="1"/>
  <c r="E103" i="7" s="1"/>
  <c r="A104" i="7" l="1"/>
  <c r="B104" i="7"/>
  <c r="D104" i="7" s="1"/>
  <c r="E104" i="7" s="1"/>
  <c r="F104" i="7"/>
  <c r="A105" i="7" l="1"/>
  <c r="B105" i="7" l="1"/>
  <c r="D105" i="7" s="1"/>
  <c r="E105" i="7" s="1"/>
  <c r="F105" i="7"/>
  <c r="A106" i="7" l="1"/>
  <c r="B106" i="7" l="1"/>
  <c r="D106" i="7" s="1"/>
  <c r="E106" i="7" s="1"/>
  <c r="F106" i="7"/>
  <c r="A107" i="7" l="1"/>
  <c r="B107" i="7" l="1"/>
  <c r="D107" i="7" s="1"/>
  <c r="E107" i="7" s="1"/>
  <c r="F107" i="7"/>
  <c r="A108" i="7" l="1"/>
  <c r="B108" i="7" l="1"/>
  <c r="D108" i="7" s="1"/>
  <c r="E108" i="7" s="1"/>
  <c r="F108" i="7"/>
  <c r="A109" i="7" l="1"/>
  <c r="F109" i="7" l="1"/>
  <c r="B109" i="7"/>
  <c r="D109" i="7" s="1"/>
  <c r="E109" i="7" s="1"/>
  <c r="A110" i="7" l="1"/>
  <c r="F110" i="7" s="1"/>
  <c r="B110" i="7"/>
  <c r="D110" i="7" s="1"/>
  <c r="E110" i="7" s="1"/>
  <c r="A111" i="7" l="1"/>
  <c r="F111" i="7" l="1"/>
  <c r="B111" i="7"/>
  <c r="D111" i="7" s="1"/>
  <c r="E111" i="7" s="1"/>
  <c r="A112" i="7" l="1"/>
  <c r="F112" i="7" s="1"/>
  <c r="B112" i="7"/>
  <c r="D112" i="7" s="1"/>
  <c r="E112" i="7" s="1"/>
  <c r="A113" i="7" l="1"/>
  <c r="B113" i="7" l="1"/>
  <c r="D113" i="7" s="1"/>
  <c r="E113" i="7" s="1"/>
  <c r="F113" i="7"/>
  <c r="A114" i="7" l="1"/>
  <c r="B114" i="7" l="1"/>
  <c r="D114" i="7" s="1"/>
  <c r="E114" i="7" s="1"/>
  <c r="F114" i="7"/>
  <c r="A115" i="7" l="1"/>
  <c r="B115" i="7" l="1"/>
  <c r="D115" i="7" s="1"/>
  <c r="E115" i="7" s="1"/>
  <c r="F115" i="7"/>
  <c r="A116" i="7" l="1"/>
  <c r="B116" i="7" s="1"/>
  <c r="D116" i="7" s="1"/>
  <c r="E116" i="7" s="1"/>
  <c r="F116" i="7" l="1"/>
  <c r="A117" i="7" s="1"/>
  <c r="F117" i="7" l="1"/>
  <c r="B117" i="7"/>
  <c r="D117" i="7" s="1"/>
  <c r="E117" i="7" s="1"/>
  <c r="A118" i="7" l="1"/>
  <c r="B118" i="7" l="1"/>
  <c r="D118" i="7" s="1"/>
  <c r="E118" i="7" s="1"/>
  <c r="F118" i="7"/>
  <c r="A119" i="7" l="1"/>
  <c r="F119" i="7" l="1"/>
  <c r="B119" i="7"/>
  <c r="D119" i="7" s="1"/>
  <c r="E119" i="7" s="1"/>
  <c r="A120" i="7" l="1"/>
  <c r="B120" i="7"/>
  <c r="D120" i="7" s="1"/>
  <c r="E120" i="7" s="1"/>
  <c r="F120" i="7"/>
  <c r="A121" i="7" l="1"/>
  <c r="B121" i="7" l="1"/>
  <c r="D121" i="7" s="1"/>
  <c r="E121" i="7" s="1"/>
  <c r="F121" i="7"/>
  <c r="A122" i="7" l="1"/>
  <c r="F122" i="7" l="1"/>
  <c r="B122" i="7"/>
  <c r="D122" i="7" s="1"/>
  <c r="E122" i="7" s="1"/>
  <c r="A123" i="7" l="1"/>
  <c r="F123" i="7"/>
  <c r="B123" i="7"/>
  <c r="D123" i="7" s="1"/>
  <c r="E123" i="7" s="1"/>
  <c r="A124" i="7" l="1"/>
  <c r="F124" i="7"/>
  <c r="B124" i="7"/>
  <c r="D124" i="7" s="1"/>
  <c r="E124" i="7" s="1"/>
  <c r="A125" i="7" l="1"/>
  <c r="F125" i="7" s="1"/>
  <c r="B125" i="7"/>
  <c r="D125" i="7" s="1"/>
  <c r="E125" i="7" s="1"/>
  <c r="A126" i="7" l="1"/>
  <c r="B126" i="7" l="1"/>
  <c r="D126" i="7" s="1"/>
  <c r="E126" i="7" s="1"/>
  <c r="F126" i="7"/>
  <c r="A127" i="7" l="1"/>
  <c r="F127" i="7" l="1"/>
  <c r="B127" i="7"/>
  <c r="D127" i="7" s="1"/>
  <c r="E127" i="7" s="1"/>
  <c r="A128" i="7" l="1"/>
  <c r="F128" i="7"/>
  <c r="B128" i="7"/>
  <c r="D128" i="7" s="1"/>
  <c r="E128" i="7" s="1"/>
  <c r="A129" i="7" l="1"/>
  <c r="B129" i="7" l="1"/>
  <c r="D129" i="7" s="1"/>
  <c r="E129" i="7" s="1"/>
  <c r="F129" i="7"/>
  <c r="A130" i="7" l="1"/>
  <c r="F130" i="7" l="1"/>
  <c r="B130" i="7"/>
  <c r="D130" i="7" s="1"/>
  <c r="E130" i="7" s="1"/>
  <c r="A131" i="7" l="1"/>
  <c r="F131" i="7"/>
  <c r="B131" i="7"/>
  <c r="D131" i="7" s="1"/>
  <c r="E131" i="7" s="1"/>
  <c r="A132" i="7" l="1"/>
  <c r="F132" i="7" s="1"/>
  <c r="B132" i="7"/>
  <c r="D132" i="7" s="1"/>
  <c r="E132" i="7" s="1"/>
  <c r="A133" i="7" l="1"/>
  <c r="B133" i="7" l="1"/>
  <c r="D133" i="7" s="1"/>
  <c r="E133" i="7" s="1"/>
  <c r="F133" i="7"/>
  <c r="A134" i="7" l="1"/>
  <c r="B134" i="7" l="1"/>
  <c r="D134" i="7" s="1"/>
  <c r="E134" i="7" s="1"/>
  <c r="F134" i="7"/>
  <c r="A135" i="7" l="1"/>
  <c r="F135" i="7" l="1"/>
  <c r="B135" i="7"/>
  <c r="D135" i="7" s="1"/>
  <c r="E135" i="7" s="1"/>
  <c r="A136" i="7" l="1"/>
  <c r="F136" i="7" l="1"/>
  <c r="B136" i="7"/>
  <c r="D136" i="7" s="1"/>
  <c r="E136" i="7" s="1"/>
  <c r="A137" i="7" l="1"/>
  <c r="B137" i="7" l="1"/>
  <c r="D137" i="7" s="1"/>
  <c r="E137" i="7" s="1"/>
  <c r="F137" i="7"/>
  <c r="A138" i="7" l="1"/>
  <c r="B138" i="7" l="1"/>
  <c r="D138" i="7" s="1"/>
  <c r="E138" i="7" s="1"/>
  <c r="F138" i="7"/>
  <c r="A139" i="7" l="1"/>
  <c r="B139" i="7" l="1"/>
  <c r="D139" i="7" s="1"/>
  <c r="E139" i="7" s="1"/>
  <c r="F139" i="7"/>
  <c r="A140" i="7" l="1"/>
  <c r="B140" i="7" l="1"/>
  <c r="D140" i="7" s="1"/>
  <c r="E140" i="7" s="1"/>
  <c r="F140" i="7"/>
  <c r="A141" i="7" l="1"/>
  <c r="B141" i="7" l="1"/>
  <c r="D141" i="7" s="1"/>
  <c r="E141" i="7" s="1"/>
  <c r="F141" i="7"/>
  <c r="A142" i="7" l="1"/>
  <c r="B142" i="7" l="1"/>
  <c r="D142" i="7" s="1"/>
  <c r="E142" i="7" s="1"/>
  <c r="F142" i="7"/>
  <c r="A143" i="7" l="1"/>
  <c r="F143" i="7" l="1"/>
  <c r="B143" i="7"/>
  <c r="D143" i="7" s="1"/>
  <c r="E143" i="7" s="1"/>
  <c r="A144" i="7"/>
  <c r="B144" i="7" l="1"/>
  <c r="D144" i="7" s="1"/>
  <c r="E144" i="7" s="1"/>
  <c r="F144" i="7"/>
  <c r="A145" i="7" l="1"/>
  <c r="B145" i="7" l="1"/>
  <c r="D145" i="7" s="1"/>
  <c r="E145" i="7" s="1"/>
  <c r="F145" i="7"/>
  <c r="A146" i="7" l="1"/>
  <c r="B146" i="7" l="1"/>
  <c r="D146" i="7" s="1"/>
  <c r="E146" i="7" s="1"/>
  <c r="F146" i="7"/>
  <c r="A147" i="7" l="1"/>
  <c r="F147" i="7" l="1"/>
  <c r="B147" i="7"/>
  <c r="D147" i="7" s="1"/>
  <c r="E147" i="7" s="1"/>
  <c r="A148" i="7" l="1"/>
  <c r="B148" i="7"/>
  <c r="D148" i="7" s="1"/>
  <c r="E148" i="7" s="1"/>
  <c r="F148" i="7"/>
  <c r="A149" i="7" l="1"/>
  <c r="B149" i="7" l="1"/>
  <c r="D149" i="7" s="1"/>
  <c r="E149" i="7" s="1"/>
  <c r="F149" i="7"/>
  <c r="A150" i="7" l="1"/>
  <c r="B150" i="7" l="1"/>
  <c r="D150" i="7" s="1"/>
  <c r="E150" i="7" s="1"/>
  <c r="F150" i="7"/>
  <c r="A151" i="7" l="1"/>
  <c r="F151" i="7" l="1"/>
  <c r="B151" i="7"/>
  <c r="D151" i="7" s="1"/>
  <c r="E151" i="7" s="1"/>
  <c r="A152" i="7" l="1"/>
  <c r="F152" i="7"/>
  <c r="B152" i="7"/>
  <c r="D152" i="7" s="1"/>
  <c r="E152" i="7" s="1"/>
  <c r="A153" i="7" l="1"/>
  <c r="B153" i="7"/>
  <c r="D153" i="7" s="1"/>
  <c r="E153" i="7" s="1"/>
  <c r="F153" i="7"/>
  <c r="A154" i="7" l="1"/>
  <c r="B154" i="7" l="1"/>
  <c r="D154" i="7" s="1"/>
  <c r="E154" i="7" s="1"/>
  <c r="F154" i="7"/>
  <c r="A155" i="7" s="1"/>
  <c r="B155" i="7" l="1"/>
  <c r="D155" i="7" s="1"/>
  <c r="E155" i="7" s="1"/>
  <c r="F155" i="7"/>
  <c r="A156" i="7" l="1"/>
  <c r="B156" i="7" l="1"/>
  <c r="D156" i="7" s="1"/>
  <c r="E156" i="7" s="1"/>
  <c r="F156" i="7"/>
  <c r="A157" i="7" l="1"/>
  <c r="B157" i="7" l="1"/>
  <c r="D157" i="7" s="1"/>
  <c r="E157" i="7" s="1"/>
  <c r="F157" i="7"/>
  <c r="A158" i="7" l="1"/>
  <c r="B158" i="7" l="1"/>
  <c r="D158" i="7" s="1"/>
  <c r="E158" i="7" s="1"/>
  <c r="F158" i="7"/>
  <c r="A159" i="7" s="1"/>
  <c r="B159" i="7" l="1"/>
  <c r="D159" i="7" s="1"/>
  <c r="E159" i="7" s="1"/>
  <c r="F159" i="7"/>
  <c r="A160" i="7" l="1"/>
  <c r="B160" i="7" l="1"/>
  <c r="D160" i="7" s="1"/>
  <c r="E160" i="7" s="1"/>
  <c r="F160" i="7"/>
  <c r="A161" i="7" l="1"/>
  <c r="B161" i="7" l="1"/>
  <c r="D161" i="7" s="1"/>
  <c r="E161" i="7" s="1"/>
  <c r="F161" i="7"/>
  <c r="A162" i="7" l="1"/>
  <c r="F162" i="7" l="1"/>
  <c r="B162" i="7"/>
  <c r="D162" i="7" s="1"/>
  <c r="E162" i="7" s="1"/>
  <c r="A163" i="7" l="1"/>
  <c r="B163" i="7"/>
  <c r="D163" i="7" s="1"/>
  <c r="E163" i="7" s="1"/>
  <c r="F163" i="7"/>
  <c r="A164" i="7" l="1"/>
  <c r="B164" i="7" l="1"/>
  <c r="D164" i="7" s="1"/>
  <c r="E164" i="7" s="1"/>
  <c r="F164" i="7"/>
  <c r="A165" i="7" l="1"/>
  <c r="B165" i="7" l="1"/>
  <c r="D165" i="7" s="1"/>
  <c r="E165" i="7" s="1"/>
  <c r="F165" i="7"/>
  <c r="A166" i="7" l="1"/>
  <c r="B166" i="7" l="1"/>
  <c r="D166" i="7" s="1"/>
  <c r="E166" i="7" s="1"/>
  <c r="F166" i="7"/>
  <c r="A167" i="7" l="1"/>
  <c r="B167" i="7" l="1"/>
  <c r="D167" i="7" s="1"/>
  <c r="E167" i="7" s="1"/>
  <c r="F167" i="7"/>
  <c r="A168" i="7" l="1"/>
  <c r="F168" i="7" l="1"/>
  <c r="B168" i="7"/>
  <c r="D168" i="7" s="1"/>
  <c r="E168" i="7" s="1"/>
  <c r="A169" i="7"/>
  <c r="B169" i="7" l="1"/>
  <c r="D169" i="7" s="1"/>
  <c r="E169" i="7" s="1"/>
  <c r="F169" i="7"/>
  <c r="A170" i="7" l="1"/>
  <c r="F170" i="7" l="1"/>
  <c r="B170" i="7"/>
  <c r="D170" i="7" s="1"/>
  <c r="E170" i="7" s="1"/>
</calcChain>
</file>

<file path=xl/sharedStrings.xml><?xml version="1.0" encoding="utf-8"?>
<sst xmlns="http://schemas.openxmlformats.org/spreadsheetml/2006/main" count="197" uniqueCount="115">
  <si>
    <t>Underlying Stocks</t>
    <phoneticPr fontId="1" type="noConversion"/>
  </si>
  <si>
    <t>S0</t>
    <phoneticPr fontId="1" type="noConversion"/>
  </si>
  <si>
    <t>K</t>
    <phoneticPr fontId="1" type="noConversion"/>
  </si>
  <si>
    <t>Rf</t>
    <phoneticPr fontId="1" type="noConversion"/>
  </si>
  <si>
    <t>volatility</t>
    <phoneticPr fontId="1" type="noConversion"/>
  </si>
  <si>
    <t>T</t>
    <phoneticPr fontId="1" type="noConversion"/>
  </si>
  <si>
    <t>u</t>
    <phoneticPr fontId="1" type="noConversion"/>
  </si>
  <si>
    <t>Option Premium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</si>
  <si>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</si>
  <si>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</si>
  <si>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</si>
  <si>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</si>
  <si>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c</t>
    <phoneticPr fontId="1" type="noConversion"/>
  </si>
  <si>
    <t>e</t>
    <phoneticPr fontId="1" type="noConversion"/>
  </si>
  <si>
    <t>Week</t>
    <phoneticPr fontId="1" type="noConversion"/>
  </si>
  <si>
    <t>SP</t>
    <phoneticPr fontId="1" type="noConversion"/>
  </si>
  <si>
    <t>Delta</t>
    <phoneticPr fontId="1" type="noConversion"/>
  </si>
  <si>
    <t>Shares Purchases</t>
    <phoneticPr fontId="1" type="noConversion"/>
  </si>
  <si>
    <t>Culmulative Cost</t>
    <phoneticPr fontId="1" type="noConversion"/>
  </si>
  <si>
    <t>Cost of shares purchases($000)</t>
    <phoneticPr fontId="1" type="noConversion"/>
  </si>
  <si>
    <t>Interst Cost($000)</t>
    <phoneticPr fontId="1" type="noConversion"/>
  </si>
  <si>
    <t>20 weeks</t>
    <phoneticPr fontId="1" type="noConversion"/>
  </si>
  <si>
    <t>Exercise</t>
    <phoneticPr fontId="1" type="noConversion"/>
  </si>
  <si>
    <t>Cost</t>
    <phoneticPr fontId="1" type="noConversion"/>
  </si>
  <si>
    <t>Rev</t>
    <phoneticPr fontId="1" type="noConversion"/>
  </si>
  <si>
    <t xml:space="preserve">Discounted </t>
    <phoneticPr fontId="1" type="noConversion"/>
  </si>
  <si>
    <t>Cost of Option</t>
    <phoneticPr fontId="1" type="noConversion"/>
  </si>
  <si>
    <t>BSM 期权定价模型</t>
    <phoneticPr fontId="1" type="noConversion"/>
  </si>
  <si>
    <t>期权种类</t>
    <phoneticPr fontId="1" type="noConversion"/>
  </si>
  <si>
    <t>看涨</t>
    <phoneticPr fontId="1" type="noConversion"/>
  </si>
  <si>
    <t>股票波动率</t>
    <phoneticPr fontId="1" type="noConversion"/>
  </si>
  <si>
    <t>无风险利率</t>
    <phoneticPr fontId="1" type="noConversion"/>
  </si>
  <si>
    <t>执行价格</t>
    <phoneticPr fontId="1" type="noConversion"/>
  </si>
  <si>
    <t>到期时间</t>
    <phoneticPr fontId="1" type="noConversion"/>
  </si>
  <si>
    <t>股票当前价格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</si>
  <si>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</si>
  <si>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</si>
  <si>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</si>
  <si>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</si>
  <si>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</si>
  <si>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N(-d1)</t>
    <phoneticPr fontId="1" type="noConversion"/>
  </si>
  <si>
    <t>N(-d2)</t>
    <phoneticPr fontId="1" type="noConversion"/>
  </si>
  <si>
    <t>看跌期权</t>
    <phoneticPr fontId="1" type="noConversion"/>
  </si>
  <si>
    <t>时间价值</t>
    <phoneticPr fontId="1" type="noConversion"/>
  </si>
  <si>
    <t>内在价值(厦大定义)</t>
    <phoneticPr fontId="1" type="noConversion"/>
  </si>
  <si>
    <t>看跌期权理论价格</t>
    <phoneticPr fontId="1" type="noConversion"/>
  </si>
  <si>
    <t>看涨期权理论价格</t>
    <phoneticPr fontId="1" type="noConversion"/>
  </si>
  <si>
    <t>股票价格</t>
    <phoneticPr fontId="1" type="noConversion"/>
  </si>
  <si>
    <t>看涨期权</t>
    <phoneticPr fontId="1" type="noConversion"/>
  </si>
  <si>
    <t>看跌期权</t>
    <phoneticPr fontId="1" type="noConversion"/>
  </si>
  <si>
    <t>隐含股票波动率</t>
    <phoneticPr fontId="1" type="noConversion"/>
  </si>
  <si>
    <t>N(d1)</t>
    <phoneticPr fontId="1" type="noConversion"/>
  </si>
  <si>
    <t>N(d2)</t>
    <phoneticPr fontId="1" type="noConversion"/>
  </si>
  <si>
    <t>猜测波动率</t>
    <phoneticPr fontId="1" type="noConversion"/>
  </si>
  <si>
    <t>计算得出的期权价格</t>
    <phoneticPr fontId="1" type="noConversion"/>
  </si>
  <si>
    <t>差异(计算-市场)</t>
    <phoneticPr fontId="1" type="noConversion"/>
  </si>
  <si>
    <t>Vega</t>
    <phoneticPr fontId="1" type="noConversion"/>
  </si>
  <si>
    <t>VegaMan</t>
    <phoneticPr fontId="1" type="noConversion"/>
  </si>
  <si>
    <t>波动率差异(计算-市场)</t>
    <phoneticPr fontId="1" type="noConversion"/>
  </si>
  <si>
    <t>NPd1</t>
    <phoneticPr fontId="1" type="noConversion"/>
  </si>
  <si>
    <t>当前价格S</t>
    <phoneticPr fontId="1" type="noConversion"/>
  </si>
  <si>
    <t>执行价格X</t>
    <phoneticPr fontId="1" type="noConversion"/>
  </si>
  <si>
    <t>无风险利率Rf</t>
    <phoneticPr fontId="1" type="noConversion"/>
  </si>
  <si>
    <t>到期时间T</t>
    <phoneticPr fontId="1" type="noConversion"/>
  </si>
  <si>
    <t>隐含波动率Sigma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</si>
  <si>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</si>
  <si>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</si>
  <si>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</si>
  <si>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</si>
  <si>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</si>
  <si>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无风险利率</t>
    <phoneticPr fontId="1" type="noConversion"/>
  </si>
  <si>
    <t>期权价格</t>
    <phoneticPr fontId="1" type="noConversion"/>
  </si>
  <si>
    <t>波动率</t>
    <phoneticPr fontId="1" type="noConversion"/>
  </si>
  <si>
    <t>期权价格</t>
    <phoneticPr fontId="1" type="noConversion"/>
  </si>
  <si>
    <t>vega(Therectical)</t>
    <phoneticPr fontId="1" type="noConversion"/>
  </si>
  <si>
    <t>Vega(Cal)</t>
    <phoneticPr fontId="1" type="noConversion"/>
  </si>
  <si>
    <t>5年期国债期货</t>
    <phoneticPr fontId="1" type="noConversion"/>
  </si>
  <si>
    <t>TF1609</t>
    <phoneticPr fontId="1" type="noConversion"/>
  </si>
  <si>
    <t>TF1612</t>
    <phoneticPr fontId="1" type="noConversion"/>
  </si>
  <si>
    <t>TF1703</t>
    <phoneticPr fontId="1" type="noConversion"/>
  </si>
  <si>
    <t>票面利率3%</t>
    <phoneticPr fontId="1" type="noConversion"/>
  </si>
  <si>
    <t>Year</t>
    <phoneticPr fontId="1" type="noConversion"/>
  </si>
  <si>
    <t>收益率5年</t>
    <phoneticPr fontId="1" type="noConversion"/>
  </si>
  <si>
    <t>隐含收益率</t>
    <phoneticPr fontId="1" type="noConversion"/>
  </si>
  <si>
    <t>计算价格</t>
    <phoneticPr fontId="1" type="noConversion"/>
  </si>
  <si>
    <t>实际价格</t>
    <phoneticPr fontId="1" type="noConversion"/>
  </si>
  <si>
    <t>差异</t>
    <phoneticPr fontId="1" type="noConversion"/>
  </si>
  <si>
    <t>差异比例</t>
    <phoneticPr fontId="1" type="noConversion"/>
  </si>
  <si>
    <t>Rho</t>
    <phoneticPr fontId="1" type="noConversion"/>
  </si>
  <si>
    <t>票面利率</t>
    <phoneticPr fontId="1" type="noConversion"/>
  </si>
  <si>
    <t>Mduration</t>
    <phoneticPr fontId="1" type="noConversion"/>
  </si>
  <si>
    <t>计算价格</t>
    <phoneticPr fontId="1" type="noConversion"/>
  </si>
  <si>
    <t>隐含收益率</t>
    <phoneticPr fontId="1" type="noConversion"/>
  </si>
  <si>
    <t>Adj Amount</t>
    <phoneticPr fontId="1" type="noConversion"/>
  </si>
  <si>
    <t>价格差异</t>
    <phoneticPr fontId="1" type="noConversion"/>
  </si>
  <si>
    <t>差异比例</t>
    <phoneticPr fontId="1" type="noConversion"/>
  </si>
  <si>
    <t>计算隐含收益率</t>
    <phoneticPr fontId="1" type="noConversion"/>
  </si>
  <si>
    <t>10年期国债期货</t>
    <phoneticPr fontId="1" type="noConversion"/>
  </si>
  <si>
    <t>T1609</t>
    <phoneticPr fontId="1" type="noConversion"/>
  </si>
  <si>
    <t>T1612</t>
    <phoneticPr fontId="1" type="noConversion"/>
  </si>
  <si>
    <t>T1703</t>
    <phoneticPr fontId="1" type="noConversion"/>
  </si>
  <si>
    <t>股票价格S</t>
    <phoneticPr fontId="1" type="noConversion"/>
  </si>
  <si>
    <t>波动率</t>
    <phoneticPr fontId="1" type="noConversion"/>
  </si>
  <si>
    <t>T</t>
    <phoneticPr fontId="1" type="noConversion"/>
  </si>
  <si>
    <t>U</t>
    <phoneticPr fontId="1" type="noConversion"/>
  </si>
  <si>
    <t>D</t>
    <phoneticPr fontId="1" type="noConversion"/>
  </si>
  <si>
    <t>无风险利率R</t>
    <phoneticPr fontId="1" type="noConversion"/>
  </si>
  <si>
    <t>Steps N</t>
    <phoneticPr fontId="1" type="noConversion"/>
  </si>
  <si>
    <t>执行价格</t>
    <phoneticPr fontId="1" type="noConversion"/>
  </si>
  <si>
    <t>BSM</t>
    <phoneticPr fontId="1" type="noConversion"/>
  </si>
  <si>
    <t>Call</t>
    <phoneticPr fontId="1" type="noConversion"/>
  </si>
  <si>
    <t>put</t>
    <phoneticPr fontId="1" type="noConversion"/>
  </si>
  <si>
    <t>PU</t>
    <phoneticPr fontId="1" type="noConversion"/>
  </si>
  <si>
    <t>Pd</t>
    <phoneticPr fontId="1" type="noConversion"/>
  </si>
  <si>
    <t>Cal Call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</si>
</sst>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¥&quot;#,##0.00;[Red]&quot;¥&quot;\-#,##0.00"/>
    <numFmt numFmtId="176" formatCode="0.0000%"/>
    <numFmt numFmtId="177" formatCode="0.000_ "/>
    <numFmt numFmtId="178" formatCode="&quot;¥&quot;#,##0.0000;[Red]&quot;¥&quot;\-#,##0.0000"/>
    <numFmt numFmtId="179" formatCode="0.0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rgb="FF333333"/>
      <name val="Arial"/>
      <family val="2"/>
    </font>
    <font>
      <b/>
      <sz val="11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3" fillId="4" borderId="0" xfId="0" applyFont="1" applyFill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0" fillId="0" borderId="0" xfId="0" applyNumberFormat="1">
      <alignment vertical="center"/>
    </xf>
    <xf numFmtId="8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4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'BSM-1'!$A$7</c:f>
              <c:strCache>
                <c:ptCount val="1"/>
                <c:pt idx="0">
                  <c:v>看涨期权理论价格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'BSM-1'!$B$7:$X$7</c:f>
              <c:numCache>
                <c:formatCode>General</c:formatCode>
                <c:ptCount val="23"/>
                <c:pt idx="0">
                  <c:v>5.3311629910249083E-28</c:v>
                </c:pt>
                <c:pt idx="1">
                  <c:v>1.1652669556045534E-14</c:v>
                </c:pt>
                <c:pt idx="2">
                  <c:v>6.0691918809143488E-9</c:v>
                </c:pt>
                <c:pt idx="3">
                  <c:v>8.4126518201952175E-6</c:v>
                </c:pt>
                <c:pt idx="4">
                  <c:v>7.1484394367700085E-4</c:v>
                </c:pt>
                <c:pt idx="5">
                  <c:v>1.3005273757255659E-2</c:v>
                </c:pt>
                <c:pt idx="6">
                  <c:v>9.3116671947127472E-2</c:v>
                </c:pt>
                <c:pt idx="7">
                  <c:v>0.3670014579294838</c:v>
                </c:pt>
                <c:pt idx="8">
                  <c:v>0.97374705120041938</c:v>
                </c:pt>
                <c:pt idx="9">
                  <c:v>1.6346433493578214</c:v>
                </c:pt>
                <c:pt idx="10">
                  <c:v>1.6400619306114237</c:v>
                </c:pt>
                <c:pt idx="11">
                  <c:v>1.6454901462276244</c:v>
                </c:pt>
                <c:pt idx="12">
                  <c:v>1.9765334341170941</c:v>
                </c:pt>
                <c:pt idx="13">
                  <c:v>3.3394246280836128</c:v>
                </c:pt>
                <c:pt idx="14">
                  <c:v>4.9705339130141439</c:v>
                </c:pt>
                <c:pt idx="15">
                  <c:v>6.773654039364839</c:v>
                </c:pt>
                <c:pt idx="16">
                  <c:v>8.6752672335527201</c:v>
                </c:pt>
                <c:pt idx="17">
                  <c:v>10.628606993038467</c:v>
                </c:pt>
                <c:pt idx="18">
                  <c:v>12.607370989313761</c:v>
                </c:pt>
                <c:pt idx="19">
                  <c:v>14.598011261098108</c:v>
                </c:pt>
                <c:pt idx="20">
                  <c:v>16.593986697754811</c:v>
                </c:pt>
                <c:pt idx="21">
                  <c:v>18.592288341511786</c:v>
                </c:pt>
                <c:pt idx="22">
                  <c:v>20.591581552475279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'BSM-1'!$A$8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'BSM-1'!$B$8:$X$8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1.0893290298383818E-3</c:v>
                </c:pt>
                <c:pt idx="11">
                  <c:v>1.1089329029839945E-2</c:v>
                </c:pt>
                <c:pt idx="12">
                  <c:v>0.59108932902983824</c:v>
                </c:pt>
                <c:pt idx="13">
                  <c:v>2.5910893290298382</c:v>
                </c:pt>
                <c:pt idx="14">
                  <c:v>4.5910893290298382</c:v>
                </c:pt>
                <c:pt idx="15">
                  <c:v>6.5910893290298382</c:v>
                </c:pt>
                <c:pt idx="16">
                  <c:v>8.5910893290298382</c:v>
                </c:pt>
                <c:pt idx="17">
                  <c:v>10.591089329029838</c:v>
                </c:pt>
                <c:pt idx="18">
                  <c:v>12.591089329029838</c:v>
                </c:pt>
                <c:pt idx="19">
                  <c:v>14.591089329029838</c:v>
                </c:pt>
                <c:pt idx="20">
                  <c:v>16.591089329029838</c:v>
                </c:pt>
                <c:pt idx="21">
                  <c:v>18.591089329029838</c:v>
                </c:pt>
                <c:pt idx="22">
                  <c:v>20.591089329029838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81184"/>
        <c:axId val="275582976"/>
      </c:scatterChart>
      <c:valAx>
        <c:axId val="27558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5582976"/>
        <c:crosses val="autoZero"/>
        <c:crossBetween val="midCat"/>
      </c:valAx>
      <c:valAx>
        <c:axId val="27558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581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'BSM-1'!$A$10</c:f>
              <c:strCache>
                <c:ptCount val="1"/>
                <c:pt idx="0">
                  <c:v>看跌期权理论价格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'BSM-1'!$B$10:$X$10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15.408910670970172</c:v>
                </c:pt>
                <c:pt idx="2">
                  <c:v>13.408910677039353</c:v>
                </c:pt>
                <c:pt idx="3">
                  <c:v>11.408919083621981</c:v>
                </c:pt>
                <c:pt idx="4">
                  <c:v>9.4096255149138379</c:v>
                </c:pt>
                <c:pt idx="5">
                  <c:v>7.4219159447274183</c:v>
                </c:pt>
                <c:pt idx="6">
                  <c:v>5.502027342917291</c:v>
                </c:pt>
                <c:pt idx="7">
                  <c:v>3.7759121288996482</c:v>
                </c:pt>
                <c:pt idx="8">
                  <c:v>2.3826577221705811</c:v>
                </c:pt>
                <c:pt idx="9">
                  <c:v>1.6435540203279846</c:v>
                </c:pt>
                <c:pt idx="10">
                  <c:v>1.6389726015815853</c:v>
                </c:pt>
                <c:pt idx="11">
                  <c:v>1.6344008171977844</c:v>
                </c:pt>
                <c:pt idx="12">
                  <c:v>1.3854441050872559</c:v>
                </c:pt>
                <c:pt idx="13">
                  <c:v>0.74833529905377283</c:v>
                </c:pt>
                <c:pt idx="14">
                  <c:v>0.37944458398430747</c:v>
                </c:pt>
                <c:pt idx="15">
                  <c:v>0.18256471033499855</c:v>
                </c:pt>
                <c:pt idx="16">
                  <c:v>8.4177904522880542E-2</c:v>
                </c:pt>
                <c:pt idx="17">
                  <c:v>3.7517664008626439E-2</c:v>
                </c:pt>
                <c:pt idx="18">
                  <c:v>1.6281660283923E-2</c:v>
                </c:pt>
                <c:pt idx="19">
                  <c:v>6.9219320682656071E-3</c:v>
                </c:pt>
                <c:pt idx="20">
                  <c:v>2.897368724974668E-3</c:v>
                </c:pt>
                <c:pt idx="21">
                  <c:v>1.1990124819496635E-3</c:v>
                </c:pt>
                <c:pt idx="22">
                  <c:v>-4.9222344544187085E-4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'BSM-1'!$A$11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'BSM-1'!$B$11:$X$11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15.408910670970162</c:v>
                </c:pt>
                <c:pt idx="2">
                  <c:v>13.408910670970162</c:v>
                </c:pt>
                <c:pt idx="3">
                  <c:v>11.408910670970162</c:v>
                </c:pt>
                <c:pt idx="4">
                  <c:v>9.4089106709701618</c:v>
                </c:pt>
                <c:pt idx="5">
                  <c:v>7.4089106709701618</c:v>
                </c:pt>
                <c:pt idx="6">
                  <c:v>5.4089106709701618</c:v>
                </c:pt>
                <c:pt idx="7">
                  <c:v>3.4089106709701618</c:v>
                </c:pt>
                <c:pt idx="8">
                  <c:v>1.4089106709701618</c:v>
                </c:pt>
                <c:pt idx="9">
                  <c:v>8.9106709701631814E-3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03840"/>
        <c:axId val="275605376"/>
      </c:scatterChart>
      <c:valAx>
        <c:axId val="27560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5605376"/>
        <c:crosses val="autoZero"/>
        <c:crossBetween val="midCat"/>
      </c:valAx>
      <c:valAx>
        <c:axId val="2756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603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113517060367457E-2"/>
          <c:y val="7.4548702245552628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'BSM-Greeks'!$A$15:$A$29</c:f>
              <c:numCache>
                <c:formatCode>0%</c:formatCode>
                <c:ptCount val="1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'BSM-Greeks'!$B$15:$B$29</c:f>
              <c:numCache>
                <c:formatCode>General</c:formatCode>
                <c:ptCount val="15"/>
                <c:pt idx="0">
                  <c:v>2.2696953650287064</c:v>
                </c:pt>
                <c:pt idx="1">
                  <c:v>2.2696953650287064</c:v>
                </c:pt>
                <c:pt idx="2">
                  <c:v>2.2696953650287064</c:v>
                </c:pt>
                <c:pt idx="3">
                  <c:v>2.2696953650287064</c:v>
                </c:pt>
                <c:pt idx="4">
                  <c:v>2.2696953650287064</c:v>
                </c:pt>
                <c:pt idx="5">
                  <c:v>2.2696953650287064</c:v>
                </c:pt>
                <c:pt idx="6">
                  <c:v>2.2696953650287064</c:v>
                </c:pt>
                <c:pt idx="7">
                  <c:v>2.2696953650287064</c:v>
                </c:pt>
                <c:pt idx="8">
                  <c:v>2.2696953650287064</c:v>
                </c:pt>
                <c:pt idx="9">
                  <c:v>2.2696953650287064</c:v>
                </c:pt>
                <c:pt idx="10">
                  <c:v>2.2696953650287064</c:v>
                </c:pt>
                <c:pt idx="11">
                  <c:v>2.2696953650287064</c:v>
                </c:pt>
                <c:pt idx="12">
                  <c:v>2.2696953650287064</c:v>
                </c:pt>
                <c:pt idx="13">
                  <c:v>2.2696953650287064</c:v>
                </c:pt>
                <c:pt idx="14">
                  <c:v>2.2696953650287064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16160"/>
        <c:axId val="276317696"/>
      </c:scatterChart>
      <c:valAx>
        <c:axId val="27631616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76317696"/>
        <c:crosses val="autoZero"/>
        <c:crossBetween val="midCat"/>
      </c:valAx>
      <c:valAx>
        <c:axId val="276317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31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891294838145233E-2"/>
          <c:y val="7.4548702245552642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'BSM-Greeks'!$E$15:$E$39</c:f>
              <c:numCache>
                <c:formatCode>0%</c:formatCode>
                <c:ptCount val="2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</c:numCache>
            </c:numRef>
          </c:xVal>
          <c:yVal>
            <c:numRef>
              <c:f>'BSM-Greeks'!$F$15:$F$39</c:f>
              <c:numCache>
                <c:formatCode>General</c:formatCode>
                <c:ptCount val="25"/>
                <c:pt idx="0">
                  <c:v>0.5911646211712025</c:v>
                </c:pt>
                <c:pt idx="1">
                  <c:v>0.6026371004782618</c:v>
                </c:pt>
                <c:pt idx="2">
                  <c:v>0.6403308514723669</c:v>
                </c:pt>
                <c:pt idx="3">
                  <c:v>0.6944486622181234</c:v>
                </c:pt>
                <c:pt idx="4">
                  <c:v>0.75722289127642561</c:v>
                </c:pt>
                <c:pt idx="5">
                  <c:v>0.82485777727572795</c:v>
                </c:pt>
                <c:pt idx="6">
                  <c:v>0.89543813557224361</c:v>
                </c:pt>
                <c:pt idx="7">
                  <c:v>0.96792000132495914</c:v>
                </c:pt>
                <c:pt idx="8">
                  <c:v>1.0416923106530316</c:v>
                </c:pt>
                <c:pt idx="9">
                  <c:v>1.1163754301877464</c:v>
                </c:pt>
                <c:pt idx="10">
                  <c:v>1.1917215888387052</c:v>
                </c:pt>
                <c:pt idx="11">
                  <c:v>1.267562288722246</c:v>
                </c:pt>
                <c:pt idx="12">
                  <c:v>1.3437788886413404</c:v>
                </c:pt>
                <c:pt idx="13">
                  <c:v>1.4202853235308321</c:v>
                </c:pt>
                <c:pt idx="14">
                  <c:v>1.4970175187825241</c:v>
                </c:pt>
                <c:pt idx="15">
                  <c:v>1.5739266675379309</c:v>
                </c:pt>
                <c:pt idx="16">
                  <c:v>1.6509748255357479</c:v>
                </c:pt>
                <c:pt idx="17">
                  <c:v>1.7281319444950913</c:v>
                </c:pt>
                <c:pt idx="18">
                  <c:v>1.8053738255313032</c:v>
                </c:pt>
                <c:pt idx="19">
                  <c:v>1.8826806767706028</c:v>
                </c:pt>
                <c:pt idx="20">
                  <c:v>1.9600360772111589</c:v>
                </c:pt>
                <c:pt idx="21">
                  <c:v>2.0374262195572808</c:v>
                </c:pt>
                <c:pt idx="22">
                  <c:v>2.1148393483010341</c:v>
                </c:pt>
                <c:pt idx="23">
                  <c:v>2.1922653368221123</c:v>
                </c:pt>
                <c:pt idx="24">
                  <c:v>2.2696953650287064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23328"/>
        <c:axId val="276329216"/>
      </c:scatterChart>
      <c:valAx>
        <c:axId val="276323328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76329216"/>
        <c:crosses val="autoZero"/>
        <c:crossBetween val="midCat"/>
      </c:valAx>
      <c:valAx>
        <c:axId val="27632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32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5796150481188"/>
          <c:y val="7.4548702245552628E-2"/>
          <c:w val="0.67919903762029743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57504"/>
        <c:axId val="276359040"/>
      </c:scatterChart>
      <c:valAx>
        <c:axId val="27635750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76359040"/>
        <c:crosses val="autoZero"/>
        <c:crossBetween val="midCat"/>
      </c:valAx>
      <c:valAx>
        <c:axId val="27635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35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'BSM-Greeks'!$L$15:$L$160</c:f>
              <c:numCache>
                <c:formatCode>General</c:formatCode>
                <c:ptCount val="146"/>
                <c:pt idx="0">
                  <c:v>0.19926631686040253</c:v>
                </c:pt>
                <c:pt idx="1">
                  <c:v>0.55496965615908778</c:v>
                </c:pt>
                <c:pt idx="2">
                  <c:v>1.0668754015590309</c:v>
                </c:pt>
                <c:pt idx="3">
                  <c:v>1.6567833617155954</c:v>
                </c:pt>
                <c:pt idx="4">
                  <c:v>2.2583449172355348</c:v>
                </c:pt>
                <c:pt idx="5">
                  <c:v>2.8308938054628663</c:v>
                </c:pt>
                <c:pt idx="6">
                  <c:v>3.3547273031899718</c:v>
                </c:pt>
                <c:pt idx="7">
                  <c:v>3.8233104425895412</c:v>
                </c:pt>
                <c:pt idx="8">
                  <c:v>4.2372744204257593</c:v>
                </c:pt>
                <c:pt idx="9">
                  <c:v>4.6006695253844159</c:v>
                </c:pt>
                <c:pt idx="10">
                  <c:v>4.9188561776283235</c:v>
                </c:pt>
                <c:pt idx="11">
                  <c:v>5.1974044162319499</c:v>
                </c:pt>
                <c:pt idx="12">
                  <c:v>5.4415669070282346</c:v>
                </c:pt>
                <c:pt idx="13">
                  <c:v>5.6560618957499784</c:v>
                </c:pt>
                <c:pt idx="14">
                  <c:v>5.8450159762397593</c:v>
                </c:pt>
                <c:pt idx="15">
                  <c:v>6.0119842589889618</c:v>
                </c:pt>
                <c:pt idx="16">
                  <c:v>6.1600040074791753</c:v>
                </c:pt>
                <c:pt idx="17">
                  <c:v>6.2916590832244825</c:v>
                </c:pt>
                <c:pt idx="18">
                  <c:v>6.409144073131773</c:v>
                </c:pt>
                <c:pt idx="19">
                  <c:v>6.5143231063267075</c:v>
                </c:pt>
                <c:pt idx="20">
                  <c:v>6.6087815484525629</c:v>
                </c:pt>
                <c:pt idx="21">
                  <c:v>6.6938703454440143</c:v>
                </c:pt>
                <c:pt idx="22">
                  <c:v>6.7707435213968319</c:v>
                </c:pt>
                <c:pt idx="23">
                  <c:v>6.8403896224822285</c:v>
                </c:pt>
                <c:pt idx="24">
                  <c:v>6.9036579618755249</c:v>
                </c:pt>
                <c:pt idx="25">
                  <c:v>6.9612804769096863</c:v>
                </c:pt>
                <c:pt idx="26">
                  <c:v>7.0138899218230755</c:v>
                </c:pt>
                <c:pt idx="27">
                  <c:v>7.0620350190830843</c:v>
                </c:pt>
                <c:pt idx="28">
                  <c:v>7.106193094745799</c:v>
                </c:pt>
                <c:pt idx="29">
                  <c:v>7.1467806356962251</c:v>
                </c:pt>
                <c:pt idx="30">
                  <c:v>7.1841621306498675</c:v>
                </c:pt>
                <c:pt idx="31">
                  <c:v>7.2186574925741036</c:v>
                </c:pt>
                <c:pt idx="32">
                  <c:v>7.2505483070770476</c:v>
                </c:pt>
                <c:pt idx="33">
                  <c:v>7.2800831071626542</c:v>
                </c:pt>
                <c:pt idx="34">
                  <c:v>7.3074818388940637</c:v>
                </c:pt>
                <c:pt idx="35">
                  <c:v>7.332939652890496</c:v>
                </c:pt>
                <c:pt idx="36">
                  <c:v>7.3566301328771733</c:v>
                </c:pt>
                <c:pt idx="37">
                  <c:v>7.3787080526157505</c:v>
                </c:pt>
                <c:pt idx="38">
                  <c:v>7.399311736856256</c:v>
                </c:pt>
                <c:pt idx="39">
                  <c:v>7.4185650887965631</c:v>
                </c:pt>
                <c:pt idx="40">
                  <c:v>7.4365793358985792</c:v>
                </c:pt>
                <c:pt idx="41">
                  <c:v>7.4534545372557597</c:v>
                </c:pt>
                <c:pt idx="42">
                  <c:v>7.4692808884142474</c:v>
                </c:pt>
                <c:pt idx="43">
                  <c:v>7.4841398538066271</c:v>
                </c:pt>
                <c:pt idx="44">
                  <c:v>7.498105151982231</c:v>
                </c:pt>
                <c:pt idx="45">
                  <c:v>7.511243614870537</c:v>
                </c:pt>
                <c:pt idx="46">
                  <c:v>7.5236159389202513</c:v>
                </c:pt>
                <c:pt idx="47">
                  <c:v>7.535277343245987</c:v>
                </c:pt>
                <c:pt idx="48">
                  <c:v>7.5462781475721314</c:v>
                </c:pt>
                <c:pt idx="49">
                  <c:v>7.5566642808704216</c:v>
                </c:pt>
                <c:pt idx="50">
                  <c:v>7.5664777299051451</c:v>
                </c:pt>
                <c:pt idx="51">
                  <c:v>7.5757569356191752</c:v>
                </c:pt>
                <c:pt idx="52">
                  <c:v>7.5845371441483529</c:v>
                </c:pt>
                <c:pt idx="53">
                  <c:v>7.5928507182103573</c:v>
                </c:pt>
                <c:pt idx="54">
                  <c:v>7.600727413887391</c:v>
                </c:pt>
                <c:pt idx="55">
                  <c:v>7.6081946271129226</c:v>
                </c:pt>
                <c:pt idx="56">
                  <c:v>7.6152776135316387</c:v>
                </c:pt>
                <c:pt idx="57">
                  <c:v>7.6219996849964318</c:v>
                </c:pt>
                <c:pt idx="58">
                  <c:v>7.6283823854206219</c:v>
                </c:pt>
                <c:pt idx="59">
                  <c:v>7.6344456484855812</c:v>
                </c:pt>
                <c:pt idx="60">
                  <c:v>7.6402079392208151</c:v>
                </c:pt>
                <c:pt idx="61">
                  <c:v>7.645686381380294</c:v>
                </c:pt>
                <c:pt idx="62">
                  <c:v>7.6508968721498078</c:v>
                </c:pt>
                <c:pt idx="63">
                  <c:v>7.655854185633963</c:v>
                </c:pt>
                <c:pt idx="64">
                  <c:v>7.6605720663609418</c:v>
                </c:pt>
                <c:pt idx="65">
                  <c:v>7.6650633138237652</c:v>
                </c:pt>
                <c:pt idx="66">
                  <c:v>7.6693398591247615</c:v>
                </c:pt>
                <c:pt idx="67">
                  <c:v>7.6734128344435533</c:v>
                </c:pt>
                <c:pt idx="68">
                  <c:v>7.6772926361678913</c:v>
                </c:pt>
                <c:pt idx="69">
                  <c:v>7.6809889822859674</c:v>
                </c:pt>
                <c:pt idx="70">
                  <c:v>7.6845109646397276</c:v>
                </c:pt>
                <c:pt idx="71">
                  <c:v>7.6878670965720914</c:v>
                </c:pt>
                <c:pt idx="72">
                  <c:v>7.6910653564060567</c:v>
                </c:pt>
                <c:pt idx="73">
                  <c:v>7.6941132271643937</c:v>
                </c:pt>
                <c:pt idx="74">
                  <c:v>7.6970177329211893</c:v>
                </c:pt>
                <c:pt idx="75">
                  <c:v>7.6997854720612864</c:v>
                </c:pt>
                <c:pt idx="76">
                  <c:v>7.7024226478004039</c:v>
                </c:pt>
                <c:pt idx="77">
                  <c:v>7.7049350961644265</c:v>
                </c:pt>
                <c:pt idx="78">
                  <c:v>7.707328311711052</c:v>
                </c:pt>
                <c:pt idx="79">
                  <c:v>7.7096074711713243</c:v>
                </c:pt>
                <c:pt idx="80">
                  <c:v>7.71177745519757</c:v>
                </c:pt>
                <c:pt idx="81">
                  <c:v>7.7138428684282374</c:v>
                </c:pt>
                <c:pt idx="82">
                  <c:v>7.7158080579602313</c:v>
                </c:pt>
                <c:pt idx="83">
                  <c:v>7.7176771304072673</c:v>
                </c:pt>
                <c:pt idx="84">
                  <c:v>7.719453967678362</c:v>
                </c:pt>
                <c:pt idx="85">
                  <c:v>7.7211422415217541</c:v>
                </c:pt>
                <c:pt idx="86">
                  <c:v>7.7227454270234404</c:v>
                </c:pt>
                <c:pt idx="87">
                  <c:v>7.7242668151092824</c:v>
                </c:pt>
                <c:pt idx="88">
                  <c:v>7.7257095240765778</c:v>
                </c:pt>
                <c:pt idx="89">
                  <c:v>7.7270765103749568</c:v>
                </c:pt>
                <c:pt idx="90">
                  <c:v>7.7283705785520169</c:v>
                </c:pt>
                <c:pt idx="91">
                  <c:v>7.7295943905113447</c:v>
                </c:pt>
                <c:pt idx="92">
                  <c:v>7.7307504741268502</c:v>
                </c:pt>
                <c:pt idx="93">
                  <c:v>7.7318412312585778</c:v>
                </c:pt>
                <c:pt idx="94">
                  <c:v>7.7328689452009698</c:v>
                </c:pt>
                <c:pt idx="95">
                  <c:v>7.7338357876399684</c:v>
                </c:pt>
                <c:pt idx="96">
                  <c:v>7.734743825126948</c:v>
                </c:pt>
                <c:pt idx="97">
                  <c:v>7.7355950251352041</c:v>
                </c:pt>
                <c:pt idx="98">
                  <c:v>7.7363912616972215</c:v>
                </c:pt>
                <c:pt idx="99">
                  <c:v>7.7371343206786776</c:v>
                </c:pt>
                <c:pt idx="100">
                  <c:v>7.7378259047096094</c:v>
                </c:pt>
                <c:pt idx="101">
                  <c:v>7.7384676378082702</c:v>
                </c:pt>
                <c:pt idx="102">
                  <c:v>7.7390610696790247</c:v>
                </c:pt>
                <c:pt idx="103">
                  <c:v>7.7396076797802067</c:v>
                </c:pt>
                <c:pt idx="104">
                  <c:v>7.7401088810838852</c:v>
                </c:pt>
                <c:pt idx="105">
                  <c:v>7.7405660236688973</c:v>
                </c:pt>
                <c:pt idx="106">
                  <c:v>7.7409803980215059</c:v>
                </c:pt>
                <c:pt idx="107">
                  <c:v>7.7413532381793644</c:v>
                </c:pt>
                <c:pt idx="108">
                  <c:v>7.7416857246852473</c:v>
                </c:pt>
                <c:pt idx="109">
                  <c:v>7.7419789873216445</c:v>
                </c:pt>
                <c:pt idx="110">
                  <c:v>7.742234107745098</c:v>
                </c:pt>
                <c:pt idx="111">
                  <c:v>7.7424521218958304</c:v>
                </c:pt>
                <c:pt idx="112">
                  <c:v>7.742634022334542</c:v>
                </c:pt>
                <c:pt idx="113">
                  <c:v>7.7427807603820327</c:v>
                </c:pt>
                <c:pt idx="114">
                  <c:v>7.7428932481815522</c:v>
                </c:pt>
                <c:pt idx="115">
                  <c:v>7.742972360608384</c:v>
                </c:pt>
                <c:pt idx="116">
                  <c:v>7.7430189371092624</c:v>
                </c:pt>
                <c:pt idx="117">
                  <c:v>7.7430337833907998</c:v>
                </c:pt>
                <c:pt idx="118">
                  <c:v>7.7430176730572882</c:v>
                </c:pt>
                <c:pt idx="119">
                  <c:v>7.7429713491313672</c:v>
                </c:pt>
                <c:pt idx="120">
                  <c:v>7.7428955254950012</c:v>
                </c:pt>
                <c:pt idx="121">
                  <c:v>7.7427908882752234</c:v>
                </c:pt>
                <c:pt idx="122">
                  <c:v>7.7426580971060517</c:v>
                </c:pt>
                <c:pt idx="123">
                  <c:v>7.7424977863769158</c:v>
                </c:pt>
                <c:pt idx="124">
                  <c:v>7.7423105663694187</c:v>
                </c:pt>
                <c:pt idx="125">
                  <c:v>7.7420970243764415</c:v>
                </c:pt>
                <c:pt idx="126">
                  <c:v>7.741857725721772</c:v>
                </c:pt>
                <c:pt idx="127">
                  <c:v>7.7415932147450945</c:v>
                </c:pt>
                <c:pt idx="128">
                  <c:v>7.7413040157470121</c:v>
                </c:pt>
                <c:pt idx="129">
                  <c:v>7.7409906338683427</c:v>
                </c:pt>
                <c:pt idx="130">
                  <c:v>7.740653555923231</c:v>
                </c:pt>
                <c:pt idx="131">
                  <c:v>7.7402932512136076</c:v>
                </c:pt>
                <c:pt idx="132">
                  <c:v>7.7399101722628245</c:v>
                </c:pt>
                <c:pt idx="133">
                  <c:v>7.739504755559949</c:v>
                </c:pt>
                <c:pt idx="134">
                  <c:v>7.7390774222223442</c:v>
                </c:pt>
                <c:pt idx="135">
                  <c:v>7.7386285786671323</c:v>
                </c:pt>
                <c:pt idx="136">
                  <c:v>7.7381586172098267</c:v>
                </c:pt>
                <c:pt idx="137">
                  <c:v>7.7376679166594116</c:v>
                </c:pt>
                <c:pt idx="138">
                  <c:v>7.7371568428921051</c:v>
                </c:pt>
                <c:pt idx="139">
                  <c:v>7.7366257493505159</c:v>
                </c:pt>
                <c:pt idx="140">
                  <c:v>7.7360749776014188</c:v>
                </c:pt>
                <c:pt idx="141">
                  <c:v>7.7355048577647452</c:v>
                </c:pt>
                <c:pt idx="142">
                  <c:v>7.7349157090189564</c:v>
                </c:pt>
                <c:pt idx="143">
                  <c:v>7.7343078400131589</c:v>
                </c:pt>
                <c:pt idx="144">
                  <c:v>7.733681549298085</c:v>
                </c:pt>
                <c:pt idx="145">
                  <c:v>8.8555389319206128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28576"/>
        <c:axId val="275930112"/>
      </c:scatterChart>
      <c:valAx>
        <c:axId val="27592857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75930112"/>
        <c:crosses val="autoZero"/>
        <c:crossBetween val="midCat"/>
      </c:valAx>
      <c:valAx>
        <c:axId val="27593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928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26</xdr:row>
      <xdr:rowOff>71437</xdr:rowOff>
    </xdr:from>
    <xdr:to>
      <xdr:col>25</xdr:col>
      <xdr:colOff>200025</xdr:colOff>
      <xdr:row>63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20</xdr:row>
      <xdr:rowOff>61912</xdr:rowOff>
    </xdr:from>
    <xdr:to>
      <xdr:col>18</xdr:col>
      <xdr:colOff>514349</xdr:colOff>
      <xdr:row>42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</xdr:row>
          <xdr:rowOff>9525</xdr:rowOff>
        </xdr:from>
        <xdr:to>
          <xdr:col>12</xdr:col>
          <xdr:colOff>47625</xdr:colOff>
          <xdr:row>5</xdr:row>
          <xdr:rowOff>9525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114300</xdr:rowOff>
        </xdr:from>
        <xdr:to>
          <xdr:col>9</xdr:col>
          <xdr:colOff>514350</xdr:colOff>
          <xdr:row>4</xdr:row>
          <xdr:rowOff>19050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CTRL-R 运行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4762</xdr:rowOff>
    </xdr:from>
    <xdr:to>
      <xdr:col>6</xdr:col>
      <xdr:colOff>142875</xdr:colOff>
      <xdr:row>68</xdr:row>
      <xdr:rowOff>4762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561975</xdr:colOff>
      <xdr:row>41</xdr:row>
      <xdr:rowOff>100012</xdr:rowOff>
    </xdr:from>
    <xdr:to>
      <xdr:col>13</xdr:col>
      <xdr:colOff>0</xdr:colOff>
      <xdr:row>57</xdr:row>
      <xdr:rowOff>100012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141</xdr:row>
      <xdr:rowOff>100012</xdr:rowOff>
    </xdr:from>
    <xdr:to>
      <xdr:col>13</xdr:col>
      <xdr:colOff>0</xdr:colOff>
      <xdr:row>156</xdr:row>
      <xdr:rowOff>142875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314325</xdr:colOff>
      <xdr:row>151</xdr:row>
      <xdr:rowOff>157162</xdr:rowOff>
    </xdr:from>
    <xdr:to>
      <xdr:col>15</xdr:col>
      <xdr:colOff>85725</xdr:colOff>
      <xdr:row>167</xdr:row>
      <xdr:rowOff>157162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66675</xdr:rowOff>
        </xdr:from>
        <xdr:to>
          <xdr:col>13</xdr:col>
          <xdr:colOff>495300</xdr:colOff>
          <xdr:row>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生成二叉树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66675</xdr:rowOff>
        </xdr:from>
        <xdr:to>
          <xdr:col>13</xdr:col>
          <xdr:colOff>495300</xdr:colOff>
          <xdr:row>1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生成二叉树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9"/>
  <sheetViews>
    <sheetView workbookViewId="0">
      <selection activeCell="D35" sqref="D35"/>
    </sheetView>
  </sheetViews>
  <sheetFormatPr defaultRowHeight="13.5" x14ac:dyDescent="0.15"/>
  <cols>
    <col min="1" max="1" width="19.375" bestFit="1" customWidth="1"/>
    <col min="4" max="4" width="18.375" bestFit="1" customWidth="1"/>
    <col min="5" max="5" width="33.875" bestFit="1" customWidth="1"/>
    <col min="6" max="6" width="18.375" bestFit="1" customWidth="1"/>
    <col min="7" max="7" width="13.875" bestFit="1" customWidth="1"/>
  </cols>
  <sheetData>
    <row r="1" spans="1:7" x14ac:dyDescent="0.15">
      <c r="A1" t="s">
        <v>13</v>
      </c>
      <c r="B1" s="2">
        <v>2.71828</v>
      </c>
    </row>
    <row r="2" spans="1:7" x14ac:dyDescent="0.15">
      <c r="A2" t="s">
        <v>7</v>
      </c>
      <c r="B2" s="1">
        <v>300000</v>
      </c>
    </row>
    <row r="3" spans="1:7" x14ac:dyDescent="0.15">
      <c r="A3" t="s">
        <v>0</v>
      </c>
      <c r="B3" s="1">
        <v>100000</v>
      </c>
    </row>
    <row r="4" spans="1:7" x14ac:dyDescent="0.15">
      <c r="A4" t="s">
        <v>1</v>
      </c>
      <c r="B4">
        <v>49</v>
      </c>
    </row>
    <row r="5" spans="1:7" x14ac:dyDescent="0.15">
      <c r="A5" t="s">
        <v>2</v>
      </c>
      <c r="B5">
        <v>50</v>
      </c>
    </row>
    <row r="6" spans="1:7" x14ac:dyDescent="0.15">
      <c r="A6" t="s">
        <v>3</v>
      </c>
      <c r="B6">
        <v>0.05</v>
      </c>
    </row>
    <row r="7" spans="1:7" x14ac:dyDescent="0.15">
      <c r="A7" t="s">
        <v>4</v>
      </c>
      <c r="B7">
        <v>0.2</v>
      </c>
    </row>
    <row r="8" spans="1:7" x14ac:dyDescent="0.15">
      <c r="A8" t="s">
        <v>5</v>
      </c>
      <c r="B8">
        <v>0.3846</v>
      </c>
      <c r="C8" t="s">
        <v>21</v>
      </c>
    </row>
    <row r="9" spans="1:7" x14ac:dyDescent="0.15">
      <c r="A9" t="s">
        <v>6</v>
      </c>
      <c r="B9">
        <f>0.13</f>
        <v>0.13</v>
      </c>
    </row>
    <row r="10" spans="1:7" x14ac:dyDescent="0.15">
      <c r="A10" t="s">
        <v>8</v>
      </c>
      <c r="B10">
        <f>(LN(B4/B5)+(B6+0.5*B7^2)*B8)/(B7*SQRT(B8))</f>
        <v>5.4173752978308974E-2</v>
      </c>
    </row>
    <row r="11" spans="1:7" x14ac:dyDescent="0.15">
      <c r="A11" t="s">
        <v>9</v>
      </c>
      <c r="B11">
        <f>(LN(B4/B5)+(B6-0.5*B7^2)*B8)/(B7*SQRT(B8))</f>
        <v>-6.9858500891400263E-2</v>
      </c>
      <c r="C11">
        <f>B10-B7*SQRT(B8)</f>
        <v>-6.9858500891400249E-2</v>
      </c>
    </row>
    <row r="12" spans="1:7" x14ac:dyDescent="0.15">
      <c r="A12" t="s">
        <v>10</v>
      </c>
      <c r="B12">
        <f>NORMSDIST(B10)</f>
        <v>0.52160163397157611</v>
      </c>
    </row>
    <row r="13" spans="1:7" x14ac:dyDescent="0.15">
      <c r="A13" t="s">
        <v>11</v>
      </c>
      <c r="B13">
        <f>NORMSDIST(B11)</f>
        <v>0.47215314194207253</v>
      </c>
    </row>
    <row r="14" spans="1:7" x14ac:dyDescent="0.15">
      <c r="A14" t="s">
        <v>12</v>
      </c>
      <c r="B14">
        <f>B4*B12-B5*POWER(B1,-B6*B8)*B13</f>
        <v>2.4004607874140973</v>
      </c>
    </row>
    <row r="16" spans="1:7" x14ac:dyDescent="0.15">
      <c r="A16" t="s">
        <v>14</v>
      </c>
      <c r="B16" t="s">
        <v>15</v>
      </c>
      <c r="C16" t="s">
        <v>16</v>
      </c>
      <c r="D16" t="s">
        <v>17</v>
      </c>
      <c r="E16" t="s">
        <v>19</v>
      </c>
      <c r="F16" t="s">
        <v>18</v>
      </c>
      <c r="G16" t="s">
        <v>20</v>
      </c>
    </row>
    <row r="17" spans="1:7" x14ac:dyDescent="0.15">
      <c r="A17">
        <v>0</v>
      </c>
      <c r="B17">
        <f>B4</f>
        <v>49</v>
      </c>
      <c r="C17">
        <f>ROUND(NORMSDIST((LN(B17/$B$5)+($B$6+0.5*$B$7^2)*($B$8-A17/52))/($B$7*SQRT(($B$8-A17/52)))),3)</f>
        <v>0.52200000000000002</v>
      </c>
      <c r="D17">
        <f>C17*$B$3</f>
        <v>52200</v>
      </c>
      <c r="E17">
        <f>D17*B17/1000</f>
        <v>2557.8000000000002</v>
      </c>
      <c r="F17">
        <f>E17</f>
        <v>2557.8000000000002</v>
      </c>
      <c r="G17">
        <f>ROUND(F17*$B$6*1/52,1)</f>
        <v>2.5</v>
      </c>
    </row>
    <row r="18" spans="1:7" x14ac:dyDescent="0.15">
      <c r="A18">
        <v>1</v>
      </c>
      <c r="B18">
        <v>48.12</v>
      </c>
      <c r="C18">
        <f>ROUND(NORMSDIST((LN(B18/$B$5)+($B$6+0.5*$B$7^2)*($B$8-A18/52))/($B$7*SQRT(($B$8-A18/52)))),3)</f>
        <v>0.45800000000000002</v>
      </c>
      <c r="D18">
        <f>C18*$B$3-SUM(D$16:D17)</f>
        <v>-6400</v>
      </c>
      <c r="E18">
        <f>ROUND(D18*B18/1000,1)</f>
        <v>-308</v>
      </c>
      <c r="F18">
        <f>F17+E18+G17</f>
        <v>2252.3000000000002</v>
      </c>
      <c r="G18">
        <f>ROUND(F18*$B$6*1/52,1)</f>
        <v>2.2000000000000002</v>
      </c>
    </row>
    <row r="19" spans="1:7" x14ac:dyDescent="0.15">
      <c r="A19">
        <v>2</v>
      </c>
      <c r="B19">
        <v>47.37</v>
      </c>
      <c r="C19">
        <f t="shared" ref="C19:C36" si="0">ROUND(NORMSDIST((LN(B19/$B$5)+($B$6+0.5*$B$7^2)*($B$8-A19/52))/($B$7*SQRT(($B$8-A19/52)))),3)</f>
        <v>0.4</v>
      </c>
      <c r="D19">
        <f>C19*$B$3-SUM(D$16:D18)</f>
        <v>-5800</v>
      </c>
      <c r="E19">
        <f t="shared" ref="E19:E37" si="1">ROUND(D19*B19/1000,1)</f>
        <v>-274.7</v>
      </c>
      <c r="F19">
        <f t="shared" ref="F19:F37" si="2">F18+E19+G18</f>
        <v>1979.8000000000002</v>
      </c>
      <c r="G19">
        <f t="shared" ref="G19:G36" si="3">ROUND(F19*$B$6*1/52,1)</f>
        <v>1.9</v>
      </c>
    </row>
    <row r="20" spans="1:7" x14ac:dyDescent="0.15">
      <c r="A20">
        <v>3</v>
      </c>
      <c r="B20">
        <v>50.25</v>
      </c>
      <c r="C20">
        <f t="shared" si="0"/>
        <v>0.59599999999999997</v>
      </c>
      <c r="D20">
        <f>C20*$B$3-SUM(D$16:D19)</f>
        <v>19600</v>
      </c>
      <c r="E20">
        <f t="shared" si="1"/>
        <v>984.9</v>
      </c>
      <c r="F20">
        <f t="shared" si="2"/>
        <v>2966.6000000000004</v>
      </c>
      <c r="G20">
        <f t="shared" si="3"/>
        <v>2.9</v>
      </c>
    </row>
    <row r="21" spans="1:7" x14ac:dyDescent="0.15">
      <c r="A21">
        <v>4</v>
      </c>
      <c r="B21">
        <v>51.75</v>
      </c>
      <c r="C21">
        <f t="shared" si="0"/>
        <v>0.69299999999999995</v>
      </c>
      <c r="D21">
        <f>C21*$B$3-SUM(D$16:D20)</f>
        <v>9700</v>
      </c>
      <c r="E21">
        <f t="shared" si="1"/>
        <v>502</v>
      </c>
      <c r="F21">
        <f t="shared" si="2"/>
        <v>3471.5000000000005</v>
      </c>
      <c r="G21">
        <f t="shared" si="3"/>
        <v>3.3</v>
      </c>
    </row>
    <row r="22" spans="1:7" x14ac:dyDescent="0.15">
      <c r="A22">
        <v>5</v>
      </c>
      <c r="B22">
        <v>53.12</v>
      </c>
      <c r="C22">
        <f t="shared" si="0"/>
        <v>0.77400000000000002</v>
      </c>
      <c r="D22">
        <f>C22*$B$3-SUM(D$16:D21)</f>
        <v>8100</v>
      </c>
      <c r="E22">
        <f t="shared" si="1"/>
        <v>430.3</v>
      </c>
      <c r="F22">
        <f t="shared" si="2"/>
        <v>3905.1000000000008</v>
      </c>
      <c r="G22">
        <f t="shared" si="3"/>
        <v>3.8</v>
      </c>
    </row>
    <row r="23" spans="1:7" x14ac:dyDescent="0.15">
      <c r="A23">
        <v>6</v>
      </c>
      <c r="B23">
        <v>53</v>
      </c>
      <c r="C23">
        <f t="shared" si="0"/>
        <v>0.77100000000000002</v>
      </c>
      <c r="D23">
        <f>C23*$B$3-SUM(D$16:D22)</f>
        <v>-300</v>
      </c>
      <c r="E23">
        <f t="shared" si="1"/>
        <v>-15.9</v>
      </c>
      <c r="F23">
        <f t="shared" si="2"/>
        <v>3893.0000000000009</v>
      </c>
      <c r="G23">
        <f t="shared" si="3"/>
        <v>3.7</v>
      </c>
    </row>
    <row r="24" spans="1:7" x14ac:dyDescent="0.15">
      <c r="A24">
        <v>7</v>
      </c>
      <c r="B24">
        <v>51.87</v>
      </c>
      <c r="C24">
        <f t="shared" si="0"/>
        <v>0.70599999999999996</v>
      </c>
      <c r="D24">
        <f>C24*$B$3-SUM(D$16:D23)</f>
        <v>-6500</v>
      </c>
      <c r="E24">
        <f t="shared" si="1"/>
        <v>-337.2</v>
      </c>
      <c r="F24">
        <f t="shared" si="2"/>
        <v>3559.5000000000009</v>
      </c>
      <c r="G24">
        <f t="shared" si="3"/>
        <v>3.4</v>
      </c>
    </row>
    <row r="25" spans="1:7" x14ac:dyDescent="0.15">
      <c r="A25">
        <v>8</v>
      </c>
      <c r="B25">
        <v>51.38</v>
      </c>
      <c r="C25">
        <f t="shared" si="0"/>
        <v>0.67400000000000004</v>
      </c>
      <c r="D25">
        <f>C25*$B$3-SUM(D$16:D24)</f>
        <v>-3200</v>
      </c>
      <c r="E25">
        <f t="shared" si="1"/>
        <v>-164.4</v>
      </c>
      <c r="F25">
        <f t="shared" si="2"/>
        <v>3398.5000000000009</v>
      </c>
      <c r="G25">
        <f t="shared" si="3"/>
        <v>3.3</v>
      </c>
    </row>
    <row r="26" spans="1:7" x14ac:dyDescent="0.15">
      <c r="A26">
        <v>9</v>
      </c>
      <c r="B26">
        <v>53</v>
      </c>
      <c r="C26">
        <f t="shared" si="0"/>
        <v>0.78700000000000003</v>
      </c>
      <c r="D26">
        <f>C26*$B$3-SUM(D$16:D25)</f>
        <v>11300</v>
      </c>
      <c r="E26">
        <f t="shared" si="1"/>
        <v>598.9</v>
      </c>
      <c r="F26">
        <f t="shared" si="2"/>
        <v>4000.7000000000012</v>
      </c>
      <c r="G26">
        <f t="shared" si="3"/>
        <v>3.8</v>
      </c>
    </row>
    <row r="27" spans="1:7" x14ac:dyDescent="0.15">
      <c r="A27">
        <v>10</v>
      </c>
      <c r="B27">
        <v>49.88</v>
      </c>
      <c r="C27">
        <f t="shared" si="0"/>
        <v>0.55000000000000004</v>
      </c>
      <c r="D27">
        <f>C27*$B$3-SUM(D$16:D26)</f>
        <v>-23699.999999999993</v>
      </c>
      <c r="E27">
        <f t="shared" si="1"/>
        <v>-1182.2</v>
      </c>
      <c r="F27">
        <f t="shared" si="2"/>
        <v>2822.3000000000011</v>
      </c>
      <c r="G27">
        <f t="shared" si="3"/>
        <v>2.7</v>
      </c>
    </row>
    <row r="28" spans="1:7" x14ac:dyDescent="0.15">
      <c r="A28">
        <v>11</v>
      </c>
      <c r="B28">
        <v>48.5</v>
      </c>
      <c r="C28">
        <f t="shared" si="0"/>
        <v>0.41299999999999998</v>
      </c>
      <c r="D28">
        <f>C28*$B$3-SUM(D$16:D27)</f>
        <v>-13700.000000000007</v>
      </c>
      <c r="E28">
        <f t="shared" si="1"/>
        <v>-664.5</v>
      </c>
      <c r="F28">
        <f t="shared" si="2"/>
        <v>2160.5000000000009</v>
      </c>
      <c r="G28">
        <f t="shared" si="3"/>
        <v>2.1</v>
      </c>
    </row>
    <row r="29" spans="1:7" x14ac:dyDescent="0.15">
      <c r="A29">
        <v>12</v>
      </c>
      <c r="B29">
        <v>49.88</v>
      </c>
      <c r="C29">
        <f t="shared" si="0"/>
        <v>0.54200000000000004</v>
      </c>
      <c r="D29">
        <f>C29*$B$3-SUM(D$16:D28)</f>
        <v>12900.000000000007</v>
      </c>
      <c r="E29">
        <f t="shared" si="1"/>
        <v>643.5</v>
      </c>
      <c r="F29">
        <f t="shared" si="2"/>
        <v>2806.1000000000008</v>
      </c>
      <c r="G29">
        <f t="shared" si="3"/>
        <v>2.7</v>
      </c>
    </row>
    <row r="30" spans="1:7" x14ac:dyDescent="0.15">
      <c r="A30">
        <v>13</v>
      </c>
      <c r="B30">
        <v>50.37</v>
      </c>
      <c r="C30">
        <f t="shared" si="0"/>
        <v>0.59099999999999997</v>
      </c>
      <c r="D30">
        <f>C30*$B$3-SUM(D$16:D29)</f>
        <v>4899.9999999999927</v>
      </c>
      <c r="E30">
        <f t="shared" si="1"/>
        <v>246.8</v>
      </c>
      <c r="F30">
        <f t="shared" si="2"/>
        <v>3055.6000000000008</v>
      </c>
      <c r="G30">
        <f t="shared" si="3"/>
        <v>2.9</v>
      </c>
    </row>
    <row r="31" spans="1:7" x14ac:dyDescent="0.15">
      <c r="A31">
        <v>14</v>
      </c>
      <c r="B31">
        <v>52.13</v>
      </c>
      <c r="C31">
        <f t="shared" si="0"/>
        <v>0.76800000000000002</v>
      </c>
      <c r="D31">
        <f>C31*$B$3-SUM(D$16:D30)</f>
        <v>17700</v>
      </c>
      <c r="E31">
        <f t="shared" si="1"/>
        <v>922.7</v>
      </c>
      <c r="F31">
        <f t="shared" si="2"/>
        <v>3981.2000000000012</v>
      </c>
      <c r="G31">
        <f t="shared" si="3"/>
        <v>3.8</v>
      </c>
    </row>
    <row r="32" spans="1:7" x14ac:dyDescent="0.15">
      <c r="A32">
        <v>15</v>
      </c>
      <c r="B32">
        <v>51.88</v>
      </c>
      <c r="C32">
        <f t="shared" si="0"/>
        <v>0.75900000000000001</v>
      </c>
      <c r="D32">
        <f>C32*$B$3-SUM(D$16:D31)</f>
        <v>-900</v>
      </c>
      <c r="E32">
        <f t="shared" si="1"/>
        <v>-46.7</v>
      </c>
      <c r="F32">
        <f t="shared" si="2"/>
        <v>3938.3000000000015</v>
      </c>
      <c r="G32">
        <f t="shared" si="3"/>
        <v>3.8</v>
      </c>
    </row>
    <row r="33" spans="1:8" x14ac:dyDescent="0.15">
      <c r="A33">
        <v>16</v>
      </c>
      <c r="B33">
        <v>52.87</v>
      </c>
      <c r="C33">
        <f t="shared" si="0"/>
        <v>0.86499999999999999</v>
      </c>
      <c r="D33">
        <f>C33*$B$3-SUM(D$16:D32)</f>
        <v>10600</v>
      </c>
      <c r="E33">
        <f t="shared" si="1"/>
        <v>560.4</v>
      </c>
      <c r="F33">
        <f t="shared" si="2"/>
        <v>4502.5000000000018</v>
      </c>
      <c r="G33">
        <f t="shared" si="3"/>
        <v>4.3</v>
      </c>
    </row>
    <row r="34" spans="1:8" x14ac:dyDescent="0.15">
      <c r="A34">
        <v>17</v>
      </c>
      <c r="B34">
        <v>54.87</v>
      </c>
      <c r="C34">
        <f t="shared" si="0"/>
        <v>0.97799999999999998</v>
      </c>
      <c r="D34">
        <f>C34*$B$3-SUM(D$16:D33)</f>
        <v>11300</v>
      </c>
      <c r="E34">
        <f t="shared" si="1"/>
        <v>620</v>
      </c>
      <c r="F34">
        <f t="shared" si="2"/>
        <v>5126.800000000002</v>
      </c>
      <c r="G34">
        <f t="shared" si="3"/>
        <v>4.9000000000000004</v>
      </c>
    </row>
    <row r="35" spans="1:8" x14ac:dyDescent="0.15">
      <c r="A35">
        <v>18</v>
      </c>
      <c r="B35">
        <v>54.62</v>
      </c>
      <c r="C35">
        <f t="shared" si="0"/>
        <v>0.99</v>
      </c>
      <c r="D35">
        <f>C35*$B$3-SUM(D$16:D34)</f>
        <v>1200</v>
      </c>
      <c r="E35">
        <f t="shared" si="1"/>
        <v>65.5</v>
      </c>
      <c r="F35">
        <f t="shared" si="2"/>
        <v>5197.2000000000016</v>
      </c>
      <c r="G35">
        <f t="shared" si="3"/>
        <v>5</v>
      </c>
    </row>
    <row r="36" spans="1:8" x14ac:dyDescent="0.15">
      <c r="A36">
        <v>19</v>
      </c>
      <c r="B36">
        <v>55.87</v>
      </c>
      <c r="C36">
        <f t="shared" si="0"/>
        <v>1</v>
      </c>
      <c r="D36">
        <f>C36*$B$3-SUM(D$16:D35)</f>
        <v>1000</v>
      </c>
      <c r="E36">
        <f t="shared" si="1"/>
        <v>55.9</v>
      </c>
      <c r="F36">
        <f t="shared" si="2"/>
        <v>5258.1000000000013</v>
      </c>
      <c r="G36">
        <f t="shared" si="3"/>
        <v>5.0999999999999996</v>
      </c>
    </row>
    <row r="37" spans="1:8" x14ac:dyDescent="0.15">
      <c r="A37" s="3">
        <v>20</v>
      </c>
      <c r="B37" s="3">
        <v>57.25</v>
      </c>
      <c r="C37" s="3">
        <v>1</v>
      </c>
      <c r="D37" s="3">
        <v>0</v>
      </c>
      <c r="E37" s="3">
        <f t="shared" si="1"/>
        <v>0</v>
      </c>
      <c r="F37" s="3">
        <f t="shared" si="2"/>
        <v>5263.2000000000016</v>
      </c>
      <c r="G37" s="3"/>
    </row>
    <row r="38" spans="1:8" x14ac:dyDescent="0.15">
      <c r="B38" t="s">
        <v>22</v>
      </c>
      <c r="D38">
        <f>SUM(D17:D37)</f>
        <v>100000</v>
      </c>
      <c r="F38">
        <f>B5*D38/1000</f>
        <v>5000</v>
      </c>
      <c r="G38" t="s">
        <v>25</v>
      </c>
      <c r="H38" t="s">
        <v>26</v>
      </c>
    </row>
    <row r="39" spans="1:8" x14ac:dyDescent="0.15">
      <c r="E39" t="s">
        <v>23</v>
      </c>
      <c r="F39" s="1">
        <f>(F37-F38)*1000</f>
        <v>263200.00000000163</v>
      </c>
      <c r="G39" s="1">
        <f>F39/POWER($B$1,B6*B8)</f>
        <v>258187.02163820722</v>
      </c>
      <c r="H39" s="1">
        <f>B14*B3</f>
        <v>240046.07874140973</v>
      </c>
    </row>
    <row r="40" spans="1:8" x14ac:dyDescent="0.15">
      <c r="E40" t="s">
        <v>7</v>
      </c>
      <c r="F40" s="1">
        <v>300000</v>
      </c>
    </row>
    <row r="41" spans="1:8" x14ac:dyDescent="0.15">
      <c r="E41" t="s">
        <v>24</v>
      </c>
      <c r="F41" s="1">
        <f>F40-F39</f>
        <v>36799.99999999837</v>
      </c>
    </row>
    <row r="44" spans="1:8" x14ac:dyDescent="0.15">
      <c r="A44" t="s">
        <v>14</v>
      </c>
      <c r="B44" t="s">
        <v>15</v>
      </c>
      <c r="C44" t="s">
        <v>16</v>
      </c>
      <c r="D44" t="s">
        <v>17</v>
      </c>
      <c r="E44" t="s">
        <v>19</v>
      </c>
      <c r="F44" t="s">
        <v>18</v>
      </c>
      <c r="G44" t="s">
        <v>20</v>
      </c>
    </row>
    <row r="45" spans="1:8" x14ac:dyDescent="0.15">
      <c r="A45">
        <v>0</v>
      </c>
      <c r="B45">
        <v>49</v>
      </c>
      <c r="C45">
        <f>ROUND(NORMSDIST((LN(B45/$B$5)+($B$6+0.5*$B$7^2)*($B$8-A45/52))/($B$7*SQRT(($B$8-A45/52)))),3)</f>
        <v>0.52200000000000002</v>
      </c>
      <c r="D45">
        <f>C45*$B$3</f>
        <v>52200</v>
      </c>
      <c r="E45">
        <f>D45*B45/1000</f>
        <v>2557.8000000000002</v>
      </c>
      <c r="F45">
        <f>E45</f>
        <v>2557.8000000000002</v>
      </c>
      <c r="G45">
        <f>ROUND(F45*$B$6*1/52,1)</f>
        <v>2.5</v>
      </c>
    </row>
    <row r="46" spans="1:8" x14ac:dyDescent="0.15">
      <c r="A46">
        <v>1</v>
      </c>
      <c r="B46">
        <v>49.75</v>
      </c>
      <c r="C46">
        <f>ROUND(NORMSDIST((LN(B46/$B$5)+($B$6+0.5*$B$7^2)*($B$8-A46/52))/($B$7*SQRT(($B$8-A46/52)))),3)</f>
        <v>0.56799999999999995</v>
      </c>
      <c r="D46">
        <f>C46*$B$3-SUM(D$45:D45)</f>
        <v>4599.9999999999927</v>
      </c>
      <c r="E46">
        <f>ROUND(D46*B46/1000,1)</f>
        <v>228.9</v>
      </c>
      <c r="F46">
        <f>F45+E46+G45</f>
        <v>2789.2000000000003</v>
      </c>
      <c r="G46">
        <f>ROUND(F46*$B$6*1/52,1)</f>
        <v>2.7</v>
      </c>
    </row>
    <row r="47" spans="1:8" x14ac:dyDescent="0.15">
      <c r="A47">
        <v>2</v>
      </c>
      <c r="B47">
        <v>52</v>
      </c>
      <c r="C47">
        <f t="shared" ref="C47:C64" si="4">ROUND(NORMSDIST((LN(B47/$B$5)+($B$6+0.5*$B$7^2)*($B$8-A47/52))/($B$7*SQRT(($B$8-A47/52)))),3)</f>
        <v>0.70499999999999996</v>
      </c>
      <c r="D47">
        <f>C47*$B$3-SUM(D$45:D46)</f>
        <v>13700.000000000007</v>
      </c>
      <c r="E47">
        <f t="shared" ref="E47:E65" si="5">ROUND(D47*B47/1000,1)</f>
        <v>712.4</v>
      </c>
      <c r="F47">
        <f t="shared" ref="F47:F65" si="6">F46+E47+G46</f>
        <v>3504.3</v>
      </c>
      <c r="G47">
        <f t="shared" ref="G47:G65" si="7">ROUND(F47*$B$6*1/52,1)</f>
        <v>3.4</v>
      </c>
    </row>
    <row r="48" spans="1:8" x14ac:dyDescent="0.15">
      <c r="A48">
        <v>3</v>
      </c>
      <c r="B48">
        <v>50</v>
      </c>
      <c r="C48">
        <f t="shared" si="4"/>
        <v>0.57899999999999996</v>
      </c>
      <c r="D48">
        <f>C48*$B$3-SUM(D$45:D47)</f>
        <v>-12600.000000000007</v>
      </c>
      <c r="E48">
        <f t="shared" si="5"/>
        <v>-630</v>
      </c>
      <c r="F48">
        <f t="shared" si="6"/>
        <v>2877.7000000000003</v>
      </c>
      <c r="G48">
        <f t="shared" si="7"/>
        <v>2.8</v>
      </c>
    </row>
    <row r="49" spans="1:7" x14ac:dyDescent="0.15">
      <c r="A49">
        <v>4</v>
      </c>
      <c r="B49">
        <v>48.38</v>
      </c>
      <c r="C49">
        <f t="shared" si="4"/>
        <v>0.45900000000000002</v>
      </c>
      <c r="D49">
        <f>C49*$B$3-SUM(D$45:D48)</f>
        <v>-11999.999999999993</v>
      </c>
      <c r="E49">
        <f t="shared" si="5"/>
        <v>-580.6</v>
      </c>
      <c r="F49">
        <f t="shared" si="6"/>
        <v>2299.9000000000005</v>
      </c>
      <c r="G49">
        <f t="shared" si="7"/>
        <v>2.2000000000000002</v>
      </c>
    </row>
    <row r="50" spans="1:7" x14ac:dyDescent="0.15">
      <c r="A50">
        <v>5</v>
      </c>
      <c r="B50">
        <v>48.25</v>
      </c>
      <c r="C50">
        <f t="shared" si="4"/>
        <v>0.443</v>
      </c>
      <c r="D50">
        <f>C50*$B$3-SUM(D$45:D49)</f>
        <v>-1600</v>
      </c>
      <c r="E50">
        <f t="shared" si="5"/>
        <v>-77.2</v>
      </c>
      <c r="F50">
        <f t="shared" si="6"/>
        <v>2224.9000000000005</v>
      </c>
      <c r="G50">
        <f t="shared" si="7"/>
        <v>2.1</v>
      </c>
    </row>
    <row r="51" spans="1:7" x14ac:dyDescent="0.15">
      <c r="A51">
        <v>6</v>
      </c>
      <c r="B51">
        <v>48.75</v>
      </c>
      <c r="C51">
        <f t="shared" si="4"/>
        <v>0.47499999999999998</v>
      </c>
      <c r="D51">
        <f>C51*$B$3-SUM(D$45:D50)</f>
        <v>3200</v>
      </c>
      <c r="E51">
        <f t="shared" si="5"/>
        <v>156</v>
      </c>
      <c r="F51">
        <f t="shared" si="6"/>
        <v>2383.0000000000005</v>
      </c>
      <c r="G51">
        <f t="shared" si="7"/>
        <v>2.2999999999999998</v>
      </c>
    </row>
    <row r="52" spans="1:7" x14ac:dyDescent="0.15">
      <c r="A52">
        <v>7</v>
      </c>
      <c r="B52">
        <v>49.63</v>
      </c>
      <c r="C52">
        <f t="shared" si="4"/>
        <v>0.54</v>
      </c>
      <c r="D52">
        <f>C52*$B$3-SUM(D$45:D51)</f>
        <v>6500</v>
      </c>
      <c r="E52">
        <f t="shared" si="5"/>
        <v>322.60000000000002</v>
      </c>
      <c r="F52">
        <f t="shared" si="6"/>
        <v>2707.9000000000005</v>
      </c>
      <c r="G52">
        <f t="shared" si="7"/>
        <v>2.6</v>
      </c>
    </row>
    <row r="53" spans="1:7" x14ac:dyDescent="0.15">
      <c r="A53">
        <v>8</v>
      </c>
      <c r="B53">
        <v>48.25</v>
      </c>
      <c r="C53">
        <f t="shared" si="4"/>
        <v>0.42</v>
      </c>
      <c r="D53">
        <f>C53*$B$3-SUM(D$45:D52)</f>
        <v>-12000</v>
      </c>
      <c r="E53">
        <f t="shared" si="5"/>
        <v>-579</v>
      </c>
      <c r="F53">
        <f t="shared" si="6"/>
        <v>2131.5000000000005</v>
      </c>
      <c r="G53">
        <f t="shared" si="7"/>
        <v>2</v>
      </c>
    </row>
    <row r="54" spans="1:7" x14ac:dyDescent="0.15">
      <c r="A54">
        <v>9</v>
      </c>
      <c r="B54">
        <v>48.25</v>
      </c>
      <c r="C54">
        <f t="shared" si="4"/>
        <v>0.41</v>
      </c>
      <c r="D54">
        <f>C54*$B$3-SUM(D$45:D53)</f>
        <v>-1000</v>
      </c>
      <c r="E54">
        <f>-48.2</f>
        <v>-48.2</v>
      </c>
      <c r="F54">
        <f>2085.4</f>
        <v>2085.4</v>
      </c>
      <c r="G54">
        <f t="shared" si="7"/>
        <v>2</v>
      </c>
    </row>
    <row r="55" spans="1:7" x14ac:dyDescent="0.15">
      <c r="A55">
        <v>10</v>
      </c>
      <c r="B55">
        <v>51.12</v>
      </c>
      <c r="C55">
        <f t="shared" si="4"/>
        <v>0.65800000000000003</v>
      </c>
      <c r="D55">
        <f>C55*$B$3-SUM(D$45:D54)</f>
        <v>24800</v>
      </c>
      <c r="E55">
        <f t="shared" si="5"/>
        <v>1267.8</v>
      </c>
      <c r="F55">
        <f t="shared" si="6"/>
        <v>3355.2</v>
      </c>
      <c r="G55">
        <f t="shared" si="7"/>
        <v>3.2</v>
      </c>
    </row>
    <row r="56" spans="1:7" x14ac:dyDescent="0.15">
      <c r="A56">
        <v>11</v>
      </c>
      <c r="B56">
        <v>51.5</v>
      </c>
      <c r="C56">
        <f t="shared" si="4"/>
        <v>0.69199999999999995</v>
      </c>
      <c r="D56">
        <f>C56*$B$3-SUM(D$45:D55)</f>
        <v>3400</v>
      </c>
      <c r="E56">
        <f t="shared" si="5"/>
        <v>175.1</v>
      </c>
      <c r="F56">
        <f t="shared" si="6"/>
        <v>3533.4999999999995</v>
      </c>
      <c r="G56">
        <f t="shared" si="7"/>
        <v>3.4</v>
      </c>
    </row>
    <row r="57" spans="1:7" x14ac:dyDescent="0.15">
      <c r="A57">
        <v>12</v>
      </c>
      <c r="B57">
        <v>49.88</v>
      </c>
      <c r="C57">
        <f t="shared" si="4"/>
        <v>0.54200000000000004</v>
      </c>
      <c r="D57">
        <f>C57*$B$3-SUM(D$45:D56)</f>
        <v>-14999.999999999993</v>
      </c>
      <c r="E57">
        <f t="shared" si="5"/>
        <v>-748.2</v>
      </c>
      <c r="F57">
        <f t="shared" si="6"/>
        <v>2788.6999999999994</v>
      </c>
      <c r="G57">
        <f t="shared" si="7"/>
        <v>2.7</v>
      </c>
    </row>
    <row r="58" spans="1:7" x14ac:dyDescent="0.15">
      <c r="A58">
        <v>13</v>
      </c>
      <c r="B58">
        <v>49.88</v>
      </c>
      <c r="C58">
        <f t="shared" si="4"/>
        <v>0.53800000000000003</v>
      </c>
      <c r="D58">
        <f>C58*$B$3-SUM(D$45:D57)</f>
        <v>-400.00000000000728</v>
      </c>
      <c r="E58">
        <f t="shared" si="5"/>
        <v>-20</v>
      </c>
      <c r="F58">
        <f t="shared" si="6"/>
        <v>2771.3999999999992</v>
      </c>
      <c r="G58">
        <f t="shared" si="7"/>
        <v>2.7</v>
      </c>
    </row>
    <row r="59" spans="1:7" x14ac:dyDescent="0.15">
      <c r="A59">
        <v>14</v>
      </c>
      <c r="B59">
        <v>48.75</v>
      </c>
      <c r="C59">
        <f t="shared" si="4"/>
        <v>0.4</v>
      </c>
      <c r="D59">
        <f>C59*$B$3-SUM(D$45:D58)</f>
        <v>-13800</v>
      </c>
      <c r="E59">
        <f t="shared" si="5"/>
        <v>-672.8</v>
      </c>
      <c r="F59">
        <f t="shared" si="6"/>
        <v>2101.2999999999993</v>
      </c>
      <c r="G59">
        <f t="shared" si="7"/>
        <v>2</v>
      </c>
    </row>
    <row r="60" spans="1:7" x14ac:dyDescent="0.15">
      <c r="A60">
        <v>15</v>
      </c>
      <c r="B60">
        <v>47.5</v>
      </c>
      <c r="C60">
        <f t="shared" si="4"/>
        <v>0.23599999999999999</v>
      </c>
      <c r="D60">
        <f>C60*$B$3-SUM(D$45:D59)</f>
        <v>-16400</v>
      </c>
      <c r="E60">
        <f t="shared" si="5"/>
        <v>-779</v>
      </c>
      <c r="F60">
        <f t="shared" si="6"/>
        <v>1324.2999999999993</v>
      </c>
      <c r="G60">
        <f t="shared" si="7"/>
        <v>1.3</v>
      </c>
    </row>
    <row r="61" spans="1:7" x14ac:dyDescent="0.15">
      <c r="A61">
        <v>16</v>
      </c>
      <c r="B61">
        <v>48</v>
      </c>
      <c r="C61">
        <f t="shared" si="4"/>
        <v>0.26100000000000001</v>
      </c>
      <c r="D61">
        <f>C61*$B$3-SUM(D$45:D60)</f>
        <v>2500</v>
      </c>
      <c r="E61">
        <f t="shared" si="5"/>
        <v>120</v>
      </c>
      <c r="F61">
        <f t="shared" si="6"/>
        <v>1445.5999999999992</v>
      </c>
      <c r="G61">
        <f t="shared" si="7"/>
        <v>1.4</v>
      </c>
    </row>
    <row r="62" spans="1:7" x14ac:dyDescent="0.15">
      <c r="A62">
        <v>17</v>
      </c>
      <c r="B62">
        <v>46.25</v>
      </c>
      <c r="C62">
        <f t="shared" si="4"/>
        <v>6.2E-2</v>
      </c>
      <c r="D62">
        <f>C62*$B$3-SUM(D$45:D61)</f>
        <v>-19900</v>
      </c>
      <c r="E62">
        <f t="shared" si="5"/>
        <v>-920.4</v>
      </c>
      <c r="F62">
        <f t="shared" si="6"/>
        <v>526.59999999999923</v>
      </c>
      <c r="G62">
        <f t="shared" si="7"/>
        <v>0.5</v>
      </c>
    </row>
    <row r="63" spans="1:7" x14ac:dyDescent="0.15">
      <c r="A63">
        <v>18</v>
      </c>
      <c r="B63">
        <v>48.13</v>
      </c>
      <c r="C63">
        <f t="shared" si="4"/>
        <v>0.183</v>
      </c>
      <c r="D63">
        <f>C63*$B$3-SUM(D$45:D62)</f>
        <v>12100</v>
      </c>
      <c r="E63">
        <f t="shared" si="5"/>
        <v>582.4</v>
      </c>
      <c r="F63">
        <f t="shared" si="6"/>
        <v>1109.4999999999991</v>
      </c>
      <c r="G63">
        <f t="shared" si="7"/>
        <v>1.1000000000000001</v>
      </c>
    </row>
    <row r="64" spans="1:7" x14ac:dyDescent="0.15">
      <c r="A64">
        <v>19</v>
      </c>
      <c r="B64">
        <v>46.63</v>
      </c>
      <c r="C64">
        <f t="shared" si="4"/>
        <v>7.0000000000000001E-3</v>
      </c>
      <c r="D64">
        <f>C64*$B$3-SUM(D$45:D63)</f>
        <v>-17600</v>
      </c>
      <c r="E64">
        <f t="shared" si="5"/>
        <v>-820.7</v>
      </c>
      <c r="F64">
        <f t="shared" si="6"/>
        <v>289.89999999999907</v>
      </c>
      <c r="G64">
        <f t="shared" si="7"/>
        <v>0.3</v>
      </c>
    </row>
    <row r="65" spans="1:8" x14ac:dyDescent="0.15">
      <c r="A65" s="3">
        <v>20</v>
      </c>
      <c r="B65" s="3">
        <v>48.12</v>
      </c>
      <c r="C65" s="3">
        <v>0</v>
      </c>
      <c r="D65" s="3">
        <f>C65*$B$3-SUM(D$45:D64)</f>
        <v>-700</v>
      </c>
      <c r="E65" s="3">
        <f t="shared" si="5"/>
        <v>-33.700000000000003</v>
      </c>
      <c r="F65" s="3">
        <f t="shared" si="6"/>
        <v>256.49999999999909</v>
      </c>
      <c r="G65" s="3">
        <f t="shared" si="7"/>
        <v>0.2</v>
      </c>
    </row>
    <row r="66" spans="1:8" x14ac:dyDescent="0.15">
      <c r="B66" t="s">
        <v>22</v>
      </c>
      <c r="D66">
        <f>SUM(D45:D65)</f>
        <v>0</v>
      </c>
      <c r="F66">
        <f>B33*D66/1000</f>
        <v>0</v>
      </c>
      <c r="G66" t="s">
        <v>25</v>
      </c>
      <c r="H66" t="s">
        <v>26</v>
      </c>
    </row>
    <row r="67" spans="1:8" x14ac:dyDescent="0.15">
      <c r="E67" t="s">
        <v>23</v>
      </c>
      <c r="F67" s="1">
        <f>(F65-F66)*1000</f>
        <v>256499.9999999991</v>
      </c>
      <c r="G67" s="1" t="e">
        <f>F67/POWER($B$1,B34*B36)</f>
        <v>#NUM!</v>
      </c>
      <c r="H67" s="1">
        <f>B42*B31</f>
        <v>0</v>
      </c>
    </row>
    <row r="68" spans="1:8" x14ac:dyDescent="0.15">
      <c r="E68" t="s">
        <v>7</v>
      </c>
      <c r="F68" s="1">
        <v>300000</v>
      </c>
    </row>
    <row r="69" spans="1:8" x14ac:dyDescent="0.15">
      <c r="E69" t="s">
        <v>24</v>
      </c>
      <c r="F69" s="1">
        <f>F68-F67</f>
        <v>43500.000000000902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1"/>
  <sheetViews>
    <sheetView zoomScaleNormal="100" workbookViewId="0">
      <selection activeCell="B14" sqref="B14"/>
    </sheetView>
  </sheetViews>
  <sheetFormatPr defaultRowHeight="13.5" x14ac:dyDescent="0.15"/>
  <cols>
    <col min="1" max="1" width="17.25" customWidth="1"/>
    <col min="2" max="2" width="12.75" bestFit="1" customWidth="1"/>
    <col min="3" max="3" width="11" bestFit="1" customWidth="1"/>
  </cols>
  <sheetData>
    <row r="1" spans="1:24" x14ac:dyDescent="0.15">
      <c r="A1" s="17" t="s">
        <v>27</v>
      </c>
      <c r="B1" s="17"/>
      <c r="C1" s="17"/>
      <c r="D1" s="17"/>
    </row>
    <row r="3" spans="1:24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24" x14ac:dyDescent="0.15">
      <c r="A4" t="s">
        <v>29</v>
      </c>
      <c r="B4" s="4">
        <v>0.3</v>
      </c>
      <c r="C4" s="4">
        <v>0.06</v>
      </c>
      <c r="D4">
        <v>20</v>
      </c>
      <c r="E4">
        <v>0.5</v>
      </c>
    </row>
    <row r="6" spans="1:24" x14ac:dyDescent="0.15">
      <c r="A6" t="s">
        <v>34</v>
      </c>
      <c r="B6">
        <v>2</v>
      </c>
      <c r="C6">
        <v>4</v>
      </c>
      <c r="D6">
        <v>6</v>
      </c>
      <c r="E6">
        <v>8</v>
      </c>
      <c r="F6">
        <v>10</v>
      </c>
      <c r="G6">
        <v>12</v>
      </c>
      <c r="H6">
        <v>14</v>
      </c>
      <c r="I6">
        <v>16</v>
      </c>
      <c r="J6">
        <v>18</v>
      </c>
      <c r="K6">
        <v>19.399999999999999</v>
      </c>
      <c r="L6">
        <v>19.41</v>
      </c>
      <c r="M6">
        <v>19.420000000000002</v>
      </c>
      <c r="N6" s="6">
        <v>20</v>
      </c>
      <c r="O6">
        <v>22</v>
      </c>
      <c r="P6">
        <v>24</v>
      </c>
      <c r="Q6">
        <v>26</v>
      </c>
      <c r="R6">
        <v>28</v>
      </c>
      <c r="S6">
        <v>30</v>
      </c>
      <c r="T6">
        <v>32</v>
      </c>
      <c r="U6">
        <v>34</v>
      </c>
      <c r="V6">
        <v>36</v>
      </c>
      <c r="W6">
        <v>38</v>
      </c>
      <c r="X6">
        <v>40</v>
      </c>
    </row>
    <row r="7" spans="1:24" x14ac:dyDescent="0.15">
      <c r="A7" t="s">
        <v>46</v>
      </c>
      <c r="B7">
        <f>B18</f>
        <v>5.3311629910249083E-28</v>
      </c>
      <c r="C7">
        <f t="shared" ref="C7:X7" si="0">C18</f>
        <v>1.1652669556045534E-14</v>
      </c>
      <c r="D7">
        <f t="shared" si="0"/>
        <v>6.0691918809143488E-9</v>
      </c>
      <c r="E7">
        <f t="shared" si="0"/>
        <v>8.4126518201952175E-6</v>
      </c>
      <c r="F7">
        <f t="shared" si="0"/>
        <v>7.1484394367700085E-4</v>
      </c>
      <c r="G7">
        <f t="shared" si="0"/>
        <v>1.3005273757255659E-2</v>
      </c>
      <c r="H7">
        <f t="shared" si="0"/>
        <v>9.3116671947127472E-2</v>
      </c>
      <c r="I7">
        <f t="shared" si="0"/>
        <v>0.3670014579294838</v>
      </c>
      <c r="J7">
        <f t="shared" si="0"/>
        <v>0.97374705120041938</v>
      </c>
      <c r="K7">
        <f t="shared" si="0"/>
        <v>1.6346433493578214</v>
      </c>
      <c r="L7">
        <f t="shared" si="0"/>
        <v>1.6400619306114237</v>
      </c>
      <c r="M7">
        <f t="shared" si="0"/>
        <v>1.6454901462276244</v>
      </c>
      <c r="N7" s="7">
        <f t="shared" si="0"/>
        <v>1.9765334341170941</v>
      </c>
      <c r="O7">
        <f t="shared" si="0"/>
        <v>3.3394246280836128</v>
      </c>
      <c r="P7">
        <f t="shared" si="0"/>
        <v>4.9705339130141439</v>
      </c>
      <c r="Q7">
        <f t="shared" si="0"/>
        <v>6.773654039364839</v>
      </c>
      <c r="R7">
        <f t="shared" si="0"/>
        <v>8.6752672335527201</v>
      </c>
      <c r="S7">
        <f t="shared" si="0"/>
        <v>10.628606993038467</v>
      </c>
      <c r="T7">
        <f t="shared" si="0"/>
        <v>12.607370989313761</v>
      </c>
      <c r="U7">
        <f t="shared" si="0"/>
        <v>14.598011261098108</v>
      </c>
      <c r="V7">
        <f t="shared" si="0"/>
        <v>16.593986697754811</v>
      </c>
      <c r="W7">
        <f t="shared" si="0"/>
        <v>18.592288341511786</v>
      </c>
      <c r="X7">
        <f t="shared" si="0"/>
        <v>20.591581552475279</v>
      </c>
    </row>
    <row r="8" spans="1:24" x14ac:dyDescent="0.15">
      <c r="A8" t="s">
        <v>44</v>
      </c>
      <c r="B8">
        <f>MAX(B6-$D$4/EXP($C$4*$E$4),0)</f>
        <v>0</v>
      </c>
      <c r="C8">
        <f t="shared" ref="C8:X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  <c r="G8">
        <f t="shared" si="1"/>
        <v>0</v>
      </c>
      <c r="H8">
        <f t="shared" si="1"/>
        <v>0</v>
      </c>
      <c r="I8">
        <f t="shared" si="1"/>
        <v>0</v>
      </c>
      <c r="J8">
        <f t="shared" si="1"/>
        <v>0</v>
      </c>
      <c r="K8">
        <f t="shared" si="1"/>
        <v>0</v>
      </c>
      <c r="L8">
        <f t="shared" si="1"/>
        <v>1.0893290298383818E-3</v>
      </c>
      <c r="M8">
        <f t="shared" si="1"/>
        <v>1.1089329029839945E-2</v>
      </c>
      <c r="N8" s="6">
        <f t="shared" si="1"/>
        <v>0.59108932902983824</v>
      </c>
      <c r="O8">
        <f t="shared" si="1"/>
        <v>2.5910893290298382</v>
      </c>
      <c r="P8">
        <f t="shared" si="1"/>
        <v>4.5910893290298382</v>
      </c>
      <c r="Q8">
        <f t="shared" si="1"/>
        <v>6.5910893290298382</v>
      </c>
      <c r="R8">
        <f t="shared" si="1"/>
        <v>8.5910893290298382</v>
      </c>
      <c r="S8">
        <f t="shared" si="1"/>
        <v>10.591089329029838</v>
      </c>
      <c r="T8">
        <f t="shared" si="1"/>
        <v>12.591089329029838</v>
      </c>
      <c r="U8">
        <f t="shared" si="1"/>
        <v>14.591089329029838</v>
      </c>
      <c r="V8">
        <f t="shared" si="1"/>
        <v>16.591089329029838</v>
      </c>
      <c r="W8">
        <f t="shared" si="1"/>
        <v>18.591089329029838</v>
      </c>
      <c r="X8">
        <f t="shared" si="1"/>
        <v>20.591089329029838</v>
      </c>
    </row>
    <row r="9" spans="1:24" s="5" customFormat="1" x14ac:dyDescent="0.15">
      <c r="A9" s="5" t="s">
        <v>43</v>
      </c>
      <c r="B9" s="5">
        <f t="shared" ref="B9:X9" si="2">B7-B8</f>
        <v>5.3311629910249083E-28</v>
      </c>
      <c r="C9" s="5">
        <f t="shared" si="2"/>
        <v>1.1652669556045534E-14</v>
      </c>
      <c r="D9" s="5">
        <f t="shared" si="2"/>
        <v>6.0691918809143488E-9</v>
      </c>
      <c r="E9" s="5">
        <f t="shared" si="2"/>
        <v>8.4126518201952175E-6</v>
      </c>
      <c r="F9" s="5">
        <f t="shared" si="2"/>
        <v>7.1484394367700085E-4</v>
      </c>
      <c r="G9" s="5">
        <f t="shared" si="2"/>
        <v>1.3005273757255659E-2</v>
      </c>
      <c r="H9" s="5">
        <f t="shared" si="2"/>
        <v>9.3116671947127472E-2</v>
      </c>
      <c r="I9" s="5">
        <f t="shared" si="2"/>
        <v>0.3670014579294838</v>
      </c>
      <c r="J9" s="5">
        <f t="shared" si="2"/>
        <v>0.97374705120041938</v>
      </c>
      <c r="K9" s="5">
        <f t="shared" si="2"/>
        <v>1.6346433493578214</v>
      </c>
      <c r="L9" s="3">
        <f t="shared" si="2"/>
        <v>1.6389726015815853</v>
      </c>
      <c r="M9" s="5">
        <f t="shared" si="2"/>
        <v>1.6344008171977844</v>
      </c>
      <c r="N9" s="5">
        <f t="shared" si="2"/>
        <v>1.3854441050872559</v>
      </c>
      <c r="O9" s="5">
        <f t="shared" si="2"/>
        <v>0.74833529905377461</v>
      </c>
      <c r="P9" s="5">
        <f t="shared" si="2"/>
        <v>0.37944458398430569</v>
      </c>
      <c r="Q9" s="5">
        <f t="shared" si="2"/>
        <v>0.18256471033500077</v>
      </c>
      <c r="R9" s="5">
        <f t="shared" si="2"/>
        <v>8.4177904522881875E-2</v>
      </c>
      <c r="S9" s="5">
        <f t="shared" si="2"/>
        <v>3.751766400862877E-2</v>
      </c>
      <c r="T9" s="5">
        <f t="shared" si="2"/>
        <v>1.6281660283922861E-2</v>
      </c>
      <c r="U9" s="5">
        <f t="shared" si="2"/>
        <v>6.9219320682698537E-3</v>
      </c>
      <c r="V9" s="5">
        <f t="shared" si="2"/>
        <v>2.8973687249731483E-3</v>
      </c>
      <c r="W9" s="5">
        <f t="shared" si="2"/>
        <v>1.1990124819476478E-3</v>
      </c>
      <c r="X9" s="5">
        <f t="shared" si="2"/>
        <v>4.9222344544119778E-4</v>
      </c>
    </row>
    <row r="10" spans="1:24" x14ac:dyDescent="0.15">
      <c r="A10" t="s">
        <v>45</v>
      </c>
      <c r="B10">
        <f>B21</f>
        <v>17.408910670970162</v>
      </c>
      <c r="C10">
        <f t="shared" ref="C10:W10" si="3">C21</f>
        <v>15.408910670970172</v>
      </c>
      <c r="D10">
        <f t="shared" si="3"/>
        <v>13.408910677039353</v>
      </c>
      <c r="E10">
        <f t="shared" si="3"/>
        <v>11.408919083621981</v>
      </c>
      <c r="F10">
        <f t="shared" si="3"/>
        <v>9.4096255149138379</v>
      </c>
      <c r="G10">
        <f t="shared" si="3"/>
        <v>7.4219159447274183</v>
      </c>
      <c r="H10">
        <f t="shared" si="3"/>
        <v>5.502027342917291</v>
      </c>
      <c r="I10">
        <f t="shared" si="3"/>
        <v>3.7759121288996482</v>
      </c>
      <c r="J10">
        <f t="shared" si="3"/>
        <v>2.3826577221705811</v>
      </c>
      <c r="K10">
        <f t="shared" si="3"/>
        <v>1.6435540203279846</v>
      </c>
      <c r="L10">
        <f t="shared" si="3"/>
        <v>1.6389726015815853</v>
      </c>
      <c r="M10">
        <f t="shared" si="3"/>
        <v>1.6344008171977844</v>
      </c>
      <c r="N10" s="7">
        <f t="shared" si="3"/>
        <v>1.3854441050872559</v>
      </c>
      <c r="O10">
        <f t="shared" si="3"/>
        <v>0.74833529905377283</v>
      </c>
      <c r="P10">
        <f t="shared" si="3"/>
        <v>0.37944458398430747</v>
      </c>
      <c r="Q10">
        <f t="shared" si="3"/>
        <v>0.18256471033499855</v>
      </c>
      <c r="R10">
        <f t="shared" si="3"/>
        <v>8.4177904522880542E-2</v>
      </c>
      <c r="S10">
        <f t="shared" si="3"/>
        <v>3.7517664008626439E-2</v>
      </c>
      <c r="T10">
        <f t="shared" si="3"/>
        <v>1.6281660283923E-2</v>
      </c>
      <c r="U10">
        <f t="shared" si="3"/>
        <v>6.9219320682656071E-3</v>
      </c>
      <c r="V10">
        <f t="shared" si="3"/>
        <v>2.897368724974668E-3</v>
      </c>
      <c r="W10">
        <f t="shared" si="3"/>
        <v>1.1990124819496635E-3</v>
      </c>
      <c r="X10">
        <f>X$6*X19-$D$4*EXP(-$C$4*$E$4)*X20</f>
        <v>-4.9222344544187085E-4</v>
      </c>
    </row>
    <row r="11" spans="1:24" x14ac:dyDescent="0.15">
      <c r="A11" t="s">
        <v>44</v>
      </c>
      <c r="B11">
        <f>MAX($D$4/EXP($C$4*$E$4)-B$6,0)</f>
        <v>17.408910670970162</v>
      </c>
      <c r="C11">
        <f t="shared" ref="C11:X11" si="4">MAX($D$4/EXP($C$4*$E$4)-C$6,0)</f>
        <v>15.408910670970162</v>
      </c>
      <c r="D11">
        <f t="shared" si="4"/>
        <v>13.408910670970162</v>
      </c>
      <c r="E11">
        <f t="shared" si="4"/>
        <v>11.408910670970162</v>
      </c>
      <c r="F11">
        <f t="shared" si="4"/>
        <v>9.4089106709701618</v>
      </c>
      <c r="G11">
        <f t="shared" si="4"/>
        <v>7.4089106709701618</v>
      </c>
      <c r="H11">
        <f t="shared" si="4"/>
        <v>5.4089106709701618</v>
      </c>
      <c r="I11">
        <f t="shared" si="4"/>
        <v>3.4089106709701618</v>
      </c>
      <c r="J11">
        <f t="shared" si="4"/>
        <v>1.4089106709701618</v>
      </c>
      <c r="K11">
        <f t="shared" si="4"/>
        <v>8.9106709701631814E-3</v>
      </c>
      <c r="L11">
        <f t="shared" si="4"/>
        <v>0</v>
      </c>
      <c r="M11">
        <f t="shared" si="4"/>
        <v>0</v>
      </c>
      <c r="N11" s="6">
        <f t="shared" si="4"/>
        <v>0</v>
      </c>
      <c r="O11">
        <f t="shared" si="4"/>
        <v>0</v>
      </c>
      <c r="P11">
        <f t="shared" si="4"/>
        <v>0</v>
      </c>
      <c r="Q11">
        <f t="shared" si="4"/>
        <v>0</v>
      </c>
      <c r="R11">
        <f t="shared" si="4"/>
        <v>0</v>
      </c>
      <c r="S11">
        <f t="shared" si="4"/>
        <v>0</v>
      </c>
      <c r="T11">
        <f t="shared" si="4"/>
        <v>0</v>
      </c>
      <c r="U11">
        <f t="shared" si="4"/>
        <v>0</v>
      </c>
      <c r="V11">
        <f t="shared" si="4"/>
        <v>0</v>
      </c>
      <c r="W11">
        <f t="shared" si="4"/>
        <v>0</v>
      </c>
      <c r="X11">
        <f t="shared" si="4"/>
        <v>0</v>
      </c>
    </row>
    <row r="12" spans="1:24" s="5" customFormat="1" x14ac:dyDescent="0.15">
      <c r="A12" s="5" t="s">
        <v>43</v>
      </c>
      <c r="B12" s="5">
        <f t="shared" ref="B12:X12" si="5">B10-B11</f>
        <v>0</v>
      </c>
      <c r="C12" s="5">
        <f t="shared" si="5"/>
        <v>0</v>
      </c>
      <c r="D12" s="5">
        <f t="shared" si="5"/>
        <v>6.0691913716937052E-9</v>
      </c>
      <c r="E12" s="5">
        <f t="shared" si="5"/>
        <v>8.412651819611483E-6</v>
      </c>
      <c r="F12" s="5">
        <f t="shared" si="5"/>
        <v>7.1484394367615778E-4</v>
      </c>
      <c r="G12" s="5">
        <f t="shared" si="5"/>
        <v>1.3005273757256575E-2</v>
      </c>
      <c r="H12" s="5">
        <f t="shared" si="5"/>
        <v>9.3116671947129248E-2</v>
      </c>
      <c r="I12" s="5">
        <f t="shared" si="5"/>
        <v>0.36700145792948646</v>
      </c>
      <c r="J12" s="5">
        <f t="shared" si="5"/>
        <v>0.97374705120041938</v>
      </c>
      <c r="K12" s="5">
        <f t="shared" si="5"/>
        <v>1.6346433493578214</v>
      </c>
      <c r="L12" s="3">
        <f t="shared" si="5"/>
        <v>1.6389726015815853</v>
      </c>
      <c r="M12" s="5">
        <f t="shared" si="5"/>
        <v>1.6344008171977844</v>
      </c>
      <c r="N12" s="5">
        <f t="shared" si="5"/>
        <v>1.3854441050872559</v>
      </c>
      <c r="O12" s="5">
        <f t="shared" si="5"/>
        <v>0.74833529905377283</v>
      </c>
      <c r="P12" s="5">
        <f t="shared" si="5"/>
        <v>0.37944458398430747</v>
      </c>
      <c r="Q12" s="5">
        <f t="shared" si="5"/>
        <v>0.18256471033499855</v>
      </c>
      <c r="R12" s="5">
        <f t="shared" si="5"/>
        <v>8.4177904522880542E-2</v>
      </c>
      <c r="S12" s="5">
        <f t="shared" si="5"/>
        <v>3.7517664008626439E-2</v>
      </c>
      <c r="T12" s="5">
        <f t="shared" si="5"/>
        <v>1.6281660283923E-2</v>
      </c>
      <c r="U12" s="5">
        <f t="shared" si="5"/>
        <v>6.9219320682656071E-3</v>
      </c>
      <c r="V12" s="5">
        <f t="shared" si="5"/>
        <v>2.897368724974668E-3</v>
      </c>
      <c r="W12" s="5">
        <f t="shared" si="5"/>
        <v>1.1990124819496635E-3</v>
      </c>
      <c r="X12" s="5">
        <f t="shared" si="5"/>
        <v>-4.9222344544187085E-4</v>
      </c>
    </row>
    <row r="13" spans="1:24" x14ac:dyDescent="0.15">
      <c r="N13" s="6"/>
    </row>
    <row r="14" spans="1:24" x14ac:dyDescent="0.15">
      <c r="A14" t="s">
        <v>35</v>
      </c>
      <c r="B14">
        <f t="shared" ref="B14:E14" si="6">(LN(B$6/$D$4)+($C$4+0.5*$B$4^2)*$E$4)/($B$4*SQRT($E$4))</f>
        <v>-10.607002850019018</v>
      </c>
      <c r="C14">
        <f t="shared" si="6"/>
        <v>-7.3394757051238626</v>
      </c>
      <c r="D14">
        <f t="shared" si="6"/>
        <v>-5.4280948552717332</v>
      </c>
      <c r="E14">
        <f t="shared" si="6"/>
        <v>-4.071948560228706</v>
      </c>
      <c r="F14">
        <f>(LN(F$6/$D$4)+($C$4+0.5*$B$4^2)*$E$4)/($B$4*SQRT($E$4))</f>
        <v>-3.0200397714798655</v>
      </c>
      <c r="G14">
        <f t="shared" ref="G14:X14" si="7">(LN(G$6/$D$4)+($C$4+0.5*$B$4^2)*$E$4)/($B$4*SQRT($E$4))</f>
        <v>-2.1605677103765752</v>
      </c>
      <c r="H14">
        <f t="shared" si="7"/>
        <v>-1.4338944368407711</v>
      </c>
      <c r="I14">
        <f t="shared" si="7"/>
        <v>-0.80442141533354861</v>
      </c>
      <c r="J14">
        <f t="shared" si="7"/>
        <v>-0.24918686052444428</v>
      </c>
      <c r="K14">
        <f t="shared" si="7"/>
        <v>0.10390129233525512</v>
      </c>
      <c r="L14">
        <f t="shared" si="7"/>
        <v>0.10633058649255225</v>
      </c>
      <c r="M14">
        <f t="shared" si="7"/>
        <v>0.10875862940376917</v>
      </c>
      <c r="N14" s="6">
        <f t="shared" si="7"/>
        <v>0.24748737341529162</v>
      </c>
      <c r="O14">
        <f t="shared" si="7"/>
        <v>0.69678386978694018</v>
      </c>
      <c r="P14">
        <f t="shared" si="7"/>
        <v>1.1069594345185818</v>
      </c>
      <c r="Q14">
        <f t="shared" si="7"/>
        <v>1.4842843770551828</v>
      </c>
      <c r="R14">
        <f t="shared" si="7"/>
        <v>1.8336327080543864</v>
      </c>
      <c r="S14">
        <f t="shared" si="7"/>
        <v>2.1588682232674223</v>
      </c>
      <c r="T14">
        <f t="shared" si="7"/>
        <v>2.463105729561609</v>
      </c>
      <c r="U14">
        <f t="shared" si="7"/>
        <v>2.7488929375167483</v>
      </c>
      <c r="V14">
        <f t="shared" si="7"/>
        <v>3.018340284370713</v>
      </c>
      <c r="W14">
        <f t="shared" si="7"/>
        <v>3.273215609704883</v>
      </c>
      <c r="X14">
        <f t="shared" si="7"/>
        <v>3.5150145183104486</v>
      </c>
    </row>
    <row r="15" spans="1:24" x14ac:dyDescent="0.15">
      <c r="A15" t="s">
        <v>36</v>
      </c>
      <c r="B15">
        <f t="shared" ref="B15:E15" si="8">(LN(B$6/$D$4)+($C$4-0.5*$B$4^2)*$E$4)/($B$4*SQRT($E$4))</f>
        <v>-10.819134884374984</v>
      </c>
      <c r="C15">
        <f t="shared" si="8"/>
        <v>-7.5516077394798273</v>
      </c>
      <c r="D15">
        <f t="shared" si="8"/>
        <v>-5.640226889627697</v>
      </c>
      <c r="E15">
        <f t="shared" si="8"/>
        <v>-4.2840805945846698</v>
      </c>
      <c r="F15">
        <f>(LN(F$6/$D$4)+($C$4-0.5*$B$4^2)*$E$4)/($B$4*SQRT($E$4))</f>
        <v>-3.2321718058358302</v>
      </c>
      <c r="G15">
        <f t="shared" ref="G15:X15" si="9">(LN(G$6/$D$4)+($C$4-0.5*$B$4^2)*$E$4)/($B$4*SQRT($E$4))</f>
        <v>-2.37269974473254</v>
      </c>
      <c r="H15">
        <f t="shared" si="9"/>
        <v>-1.6460264711967352</v>
      </c>
      <c r="I15">
        <f t="shared" si="9"/>
        <v>-1.0165534496895128</v>
      </c>
      <c r="J15">
        <f t="shared" si="9"/>
        <v>-0.4613188948804085</v>
      </c>
      <c r="K15">
        <f t="shared" si="9"/>
        <v>-0.10823074202070913</v>
      </c>
      <c r="L15">
        <f t="shared" si="9"/>
        <v>-0.105801447863412</v>
      </c>
      <c r="M15">
        <f t="shared" si="9"/>
        <v>-0.10337340495219509</v>
      </c>
      <c r="N15" s="6">
        <f t="shared" si="9"/>
        <v>3.5355339059327376E-2</v>
      </c>
      <c r="O15">
        <f t="shared" si="9"/>
        <v>0.48465183543097601</v>
      </c>
      <c r="P15">
        <f t="shared" si="9"/>
        <v>0.89482740016261775</v>
      </c>
      <c r="Q15">
        <f t="shared" si="9"/>
        <v>1.2721523426992187</v>
      </c>
      <c r="R15">
        <f t="shared" si="9"/>
        <v>1.6215006736984223</v>
      </c>
      <c r="S15">
        <f t="shared" si="9"/>
        <v>1.9467361889114583</v>
      </c>
      <c r="T15">
        <f t="shared" si="9"/>
        <v>2.2509736952056447</v>
      </c>
      <c r="U15">
        <f t="shared" si="9"/>
        <v>2.5367609031607841</v>
      </c>
      <c r="V15">
        <f t="shared" si="9"/>
        <v>2.8062082500147487</v>
      </c>
      <c r="W15">
        <f t="shared" si="9"/>
        <v>3.0610835753489183</v>
      </c>
      <c r="X15">
        <f t="shared" si="9"/>
        <v>3.3028824839544844</v>
      </c>
    </row>
    <row r="16" spans="1:24" x14ac:dyDescent="0.15">
      <c r="A16" t="s">
        <v>37</v>
      </c>
      <c r="B16">
        <f t="shared" ref="B16:E16" si="10">NORMSDIST(B14)</f>
        <v>1.3823789047821733E-26</v>
      </c>
      <c r="C16">
        <f t="shared" si="10"/>
        <v>1.0721609097899013E-13</v>
      </c>
      <c r="D16">
        <f t="shared" si="10"/>
        <v>2.8479383932807844E-8</v>
      </c>
      <c r="E16">
        <f t="shared" si="10"/>
        <v>2.3310738376387358E-5</v>
      </c>
      <c r="F16">
        <f>NORMSDIST(F14)</f>
        <v>1.2637074743163989E-3</v>
      </c>
      <c r="G16">
        <f t="shared" ref="G16:X16" si="11">NORMSDIST(G14)</f>
        <v>1.5364373968751071E-2</v>
      </c>
      <c r="H16">
        <f t="shared" si="11"/>
        <v>7.5801194834653043E-2</v>
      </c>
      <c r="I16">
        <f t="shared" si="11"/>
        <v>0.21057681866570863</v>
      </c>
      <c r="J16">
        <f t="shared" si="11"/>
        <v>0.40160812135221668</v>
      </c>
      <c r="K16">
        <f t="shared" ref="K16:M16" si="12">NORMSDIST(K14)</f>
        <v>0.54137615923751126</v>
      </c>
      <c r="L16">
        <f t="shared" si="12"/>
        <v>0.54233996768327364</v>
      </c>
      <c r="M16">
        <f t="shared" si="12"/>
        <v>0.54330303097020194</v>
      </c>
      <c r="N16" s="6">
        <f t="shared" si="11"/>
        <v>0.59773446890843829</v>
      </c>
      <c r="O16">
        <f t="shared" si="11"/>
        <v>0.75703096892426713</v>
      </c>
      <c r="P16">
        <f t="shared" si="11"/>
        <v>0.86584426636006451</v>
      </c>
      <c r="Q16">
        <f t="shared" si="11"/>
        <v>0.93113325340621556</v>
      </c>
      <c r="R16">
        <f t="shared" si="11"/>
        <v>0.96664573319468716</v>
      </c>
      <c r="S16">
        <f t="shared" si="11"/>
        <v>0.98456980411584694</v>
      </c>
      <c r="T16">
        <f t="shared" si="11"/>
        <v>0.99311303541632723</v>
      </c>
      <c r="U16">
        <f t="shared" si="11"/>
        <v>0.99701015428524553</v>
      </c>
      <c r="V16">
        <f t="shared" si="11"/>
        <v>0.99872918332358496</v>
      </c>
      <c r="W16">
        <f t="shared" si="11"/>
        <v>0.99946834333456658</v>
      </c>
      <c r="X16">
        <f t="shared" si="11"/>
        <v>0.99978013502607477</v>
      </c>
    </row>
    <row r="17" spans="1:24" x14ac:dyDescent="0.15">
      <c r="A17" t="s">
        <v>38</v>
      </c>
      <c r="B17">
        <f t="shared" ref="B17:E17" si="13">NORMSDIST(B15)</f>
        <v>1.3970110046977535E-27</v>
      </c>
      <c r="C17">
        <f t="shared" si="13"/>
        <v>2.1495884103580169E-14</v>
      </c>
      <c r="D17">
        <f t="shared" si="13"/>
        <v>8.4913117747733321E-9</v>
      </c>
      <c r="E17">
        <f t="shared" si="13"/>
        <v>9.1748196593664155E-6</v>
      </c>
      <c r="F17">
        <f>NORMSDIST(F15)</f>
        <v>6.1426583910858146E-4</v>
      </c>
      <c r="G17">
        <f t="shared" ref="G17:X17" si="14">NORMSDIST(G15)</f>
        <v>8.8293061250506195E-3</v>
      </c>
      <c r="H17">
        <f t="shared" si="14"/>
        <v>4.9879154587794503E-2</v>
      </c>
      <c r="I17">
        <f t="shared" si="14"/>
        <v>0.15468295421712025</v>
      </c>
      <c r="J17">
        <f t="shared" si="14"/>
        <v>0.32228491537628434</v>
      </c>
      <c r="K17">
        <f t="shared" ref="K17:M17" si="15">NORMSDIST(K15)</f>
        <v>0.45690632978767909</v>
      </c>
      <c r="L17">
        <f t="shared" si="15"/>
        <v>0.4578699440052969</v>
      </c>
      <c r="M17">
        <f t="shared" si="15"/>
        <v>0.45883330941048406</v>
      </c>
      <c r="N17" s="6">
        <f t="shared" si="14"/>
        <v>0.51410180165216401</v>
      </c>
      <c r="O17">
        <f t="shared" si="14"/>
        <v>0.68603833125811886</v>
      </c>
      <c r="P17">
        <f t="shared" si="14"/>
        <v>0.81456031962030495</v>
      </c>
      <c r="Q17">
        <f t="shared" si="14"/>
        <v>0.89834050167871848</v>
      </c>
      <c r="R17">
        <f t="shared" si="14"/>
        <v>0.94754484719256271</v>
      </c>
      <c r="S17">
        <f t="shared" si="14"/>
        <v>0.97421681468802368</v>
      </c>
      <c r="T17">
        <f t="shared" si="14"/>
        <v>0.98780639825833039</v>
      </c>
      <c r="U17">
        <f t="shared" si="14"/>
        <v>0.99440583306242347</v>
      </c>
      <c r="V17">
        <f t="shared" si="14"/>
        <v>0.99749358581217662</v>
      </c>
      <c r="W17">
        <f t="shared" si="14"/>
        <v>0.9988973123669207</v>
      </c>
      <c r="X17">
        <f t="shared" si="14"/>
        <v>0.99952151758746866</v>
      </c>
    </row>
    <row r="18" spans="1:24" x14ac:dyDescent="0.15">
      <c r="A18" t="s">
        <v>39</v>
      </c>
      <c r="B18">
        <f t="shared" ref="B18:E18" si="16">B$6*B16-$D$4*EXP(-$C$4*$E$4)*B17</f>
        <v>5.3311629910249083E-28</v>
      </c>
      <c r="C18">
        <f t="shared" si="16"/>
        <v>1.1652669556045534E-14</v>
      </c>
      <c r="D18">
        <f t="shared" si="16"/>
        <v>6.0691918809143488E-9</v>
      </c>
      <c r="E18">
        <f t="shared" si="16"/>
        <v>8.4126518201952175E-6</v>
      </c>
      <c r="F18">
        <f>F$6*F16-$D$4*EXP(-$C$4*$E$4)*F17</f>
        <v>7.1484394367700085E-4</v>
      </c>
      <c r="G18">
        <f t="shared" ref="G18:X18" si="17">G$6*G16-$D$4*EXP(-$C$4*$E$4)*G17</f>
        <v>1.3005273757255659E-2</v>
      </c>
      <c r="H18">
        <f t="shared" si="17"/>
        <v>9.3116671947127472E-2</v>
      </c>
      <c r="I18">
        <f t="shared" si="17"/>
        <v>0.3670014579294838</v>
      </c>
      <c r="J18">
        <f t="shared" si="17"/>
        <v>0.97374705120041938</v>
      </c>
      <c r="K18">
        <f t="shared" ref="K18" si="18">K$6*K16-$D$4*EXP(-$C$4*$E$4)*K17</f>
        <v>1.6346433493578214</v>
      </c>
      <c r="L18">
        <f t="shared" ref="L18" si="19">L$6*L16-$D$4*EXP(-$C$4*$E$4)*L17</f>
        <v>1.6400619306114237</v>
      </c>
      <c r="M18">
        <f t="shared" ref="M18" si="20">M$6*M16-$D$4*EXP(-$C$4*$E$4)*M17</f>
        <v>1.6454901462276244</v>
      </c>
      <c r="N18" s="6">
        <f t="shared" si="17"/>
        <v>1.9765334341170941</v>
      </c>
      <c r="O18">
        <f t="shared" si="17"/>
        <v>3.3394246280836128</v>
      </c>
      <c r="P18">
        <f t="shared" si="17"/>
        <v>4.9705339130141439</v>
      </c>
      <c r="Q18">
        <f t="shared" si="17"/>
        <v>6.773654039364839</v>
      </c>
      <c r="R18">
        <f t="shared" si="17"/>
        <v>8.6752672335527201</v>
      </c>
      <c r="S18">
        <f t="shared" si="17"/>
        <v>10.628606993038467</v>
      </c>
      <c r="T18">
        <f t="shared" si="17"/>
        <v>12.607370989313761</v>
      </c>
      <c r="U18">
        <f t="shared" si="17"/>
        <v>14.598011261098108</v>
      </c>
      <c r="V18">
        <f t="shared" si="17"/>
        <v>16.593986697754811</v>
      </c>
      <c r="W18">
        <f t="shared" si="17"/>
        <v>18.592288341511786</v>
      </c>
      <c r="X18">
        <f t="shared" si="17"/>
        <v>20.591581552475279</v>
      </c>
    </row>
    <row r="19" spans="1:24" x14ac:dyDescent="0.15">
      <c r="A19" t="s">
        <v>40</v>
      </c>
      <c r="B19">
        <f t="shared" ref="B19:E19" si="21">1-NORMSDIST(B14)</f>
        <v>1</v>
      </c>
      <c r="C19">
        <f t="shared" si="21"/>
        <v>0.99999999999989275</v>
      </c>
      <c r="D19">
        <f t="shared" si="21"/>
        <v>0.99999997152061604</v>
      </c>
      <c r="E19">
        <f t="shared" si="21"/>
        <v>0.99997668926162364</v>
      </c>
      <c r="F19">
        <f>1-NORMSDIST(F14)</f>
        <v>0.99873629252568363</v>
      </c>
      <c r="G19">
        <f t="shared" ref="G19:X19" si="22">1-NORMSDIST(G14)</f>
        <v>0.98463562603124888</v>
      </c>
      <c r="H19">
        <f t="shared" si="22"/>
        <v>0.92419880516534691</v>
      </c>
      <c r="I19">
        <f t="shared" si="22"/>
        <v>0.78942318133429135</v>
      </c>
      <c r="J19">
        <f t="shared" si="22"/>
        <v>0.59839187864778332</v>
      </c>
      <c r="K19">
        <f t="shared" ref="K19:M19" si="23">1-NORMSDIST(K14)</f>
        <v>0.45862384076248874</v>
      </c>
      <c r="L19">
        <f t="shared" si="23"/>
        <v>0.45766003231672636</v>
      </c>
      <c r="M19">
        <f t="shared" si="23"/>
        <v>0.45669696902979806</v>
      </c>
      <c r="N19" s="6">
        <f t="shared" si="22"/>
        <v>0.40226553109156171</v>
      </c>
      <c r="O19">
        <f t="shared" si="22"/>
        <v>0.24296903107573287</v>
      </c>
      <c r="P19">
        <f t="shared" si="22"/>
        <v>0.13415573363993549</v>
      </c>
      <c r="Q19">
        <f t="shared" si="22"/>
        <v>6.8866746593784445E-2</v>
      </c>
      <c r="R19">
        <f t="shared" si="22"/>
        <v>3.3354266805312838E-2</v>
      </c>
      <c r="S19">
        <f t="shared" si="22"/>
        <v>1.5430195884153064E-2</v>
      </c>
      <c r="T19">
        <f t="shared" si="22"/>
        <v>6.8869645836727722E-3</v>
      </c>
      <c r="U19">
        <f t="shared" si="22"/>
        <v>2.9898457147544688E-3</v>
      </c>
      <c r="V19">
        <f t="shared" si="22"/>
        <v>1.270816676415043E-3</v>
      </c>
      <c r="W19">
        <f t="shared" si="22"/>
        <v>5.3165666543342205E-4</v>
      </c>
      <c r="X19">
        <f t="shared" si="22"/>
        <v>2.198649739252323E-4</v>
      </c>
    </row>
    <row r="20" spans="1:24" x14ac:dyDescent="0.15">
      <c r="A20" t="s">
        <v>41</v>
      </c>
      <c r="B20">
        <f t="shared" ref="B20:E20" si="24">1-NORMSDIST(B15)</f>
        <v>1</v>
      </c>
      <c r="C20">
        <f t="shared" si="24"/>
        <v>0.99999999999997846</v>
      </c>
      <c r="D20">
        <f t="shared" si="24"/>
        <v>0.99999999150868824</v>
      </c>
      <c r="E20">
        <f t="shared" si="24"/>
        <v>0.99999082518034066</v>
      </c>
      <c r="F20">
        <f>1-NORMSDIST(F15)</f>
        <v>0.99938573416089138</v>
      </c>
      <c r="G20">
        <f t="shared" ref="G20:X20" si="25">1-NORMSDIST(G15)</f>
        <v>0.99117069387494938</v>
      </c>
      <c r="H20">
        <f t="shared" si="25"/>
        <v>0.95012084541220554</v>
      </c>
      <c r="I20">
        <f t="shared" si="25"/>
        <v>0.84531704578287981</v>
      </c>
      <c r="J20">
        <f t="shared" si="25"/>
        <v>0.67771508462371566</v>
      </c>
      <c r="K20">
        <f t="shared" ref="K20:M20" si="26">1-NORMSDIST(K15)</f>
        <v>0.54309367021232091</v>
      </c>
      <c r="L20">
        <f t="shared" si="26"/>
        <v>0.5421300559947031</v>
      </c>
      <c r="M20">
        <f t="shared" si="26"/>
        <v>0.54116669058951594</v>
      </c>
      <c r="N20" s="6">
        <f t="shared" si="25"/>
        <v>0.48589819834783599</v>
      </c>
      <c r="O20">
        <f t="shared" si="25"/>
        <v>0.31396166874188114</v>
      </c>
      <c r="P20">
        <f t="shared" si="25"/>
        <v>0.18543968037969505</v>
      </c>
      <c r="Q20">
        <f t="shared" si="25"/>
        <v>0.10165949832128152</v>
      </c>
      <c r="R20">
        <f t="shared" si="25"/>
        <v>5.2455152807437289E-2</v>
      </c>
      <c r="S20">
        <f t="shared" si="25"/>
        <v>2.578318531197632E-2</v>
      </c>
      <c r="T20">
        <f t="shared" si="25"/>
        <v>1.2193601741669613E-2</v>
      </c>
      <c r="U20">
        <f t="shared" si="25"/>
        <v>5.5941669375765279E-3</v>
      </c>
      <c r="V20">
        <f t="shared" si="25"/>
        <v>2.5064141878233803E-3</v>
      </c>
      <c r="W20">
        <f t="shared" si="25"/>
        <v>1.1026876330793023E-3</v>
      </c>
      <c r="X20">
        <f t="shared" si="25"/>
        <v>4.7848241253134471E-4</v>
      </c>
    </row>
    <row r="21" spans="1:24" x14ac:dyDescent="0.15">
      <c r="A21" t="s">
        <v>42</v>
      </c>
      <c r="B21">
        <f t="shared" ref="B21:E21" si="27">$D$4*EXP(-$C$4*$E$4)*B20 -B$6*B19</f>
        <v>17.408910670970162</v>
      </c>
      <c r="C21">
        <f t="shared" si="27"/>
        <v>15.408910670970172</v>
      </c>
      <c r="D21">
        <f t="shared" si="27"/>
        <v>13.408910677039353</v>
      </c>
      <c r="E21">
        <f t="shared" si="27"/>
        <v>11.408919083621981</v>
      </c>
      <c r="F21">
        <f>$D$4*EXP(-$C$4*$E$4)*F20 -F$6*F19</f>
        <v>9.4096255149138379</v>
      </c>
      <c r="G21">
        <f t="shared" ref="G21:X21" si="28">$D$4*EXP(-$C$4*$E$4)*G20 -G$6*G19</f>
        <v>7.4219159447274183</v>
      </c>
      <c r="H21">
        <f t="shared" si="28"/>
        <v>5.502027342917291</v>
      </c>
      <c r="I21">
        <f t="shared" si="28"/>
        <v>3.7759121288996482</v>
      </c>
      <c r="J21">
        <f t="shared" si="28"/>
        <v>2.3826577221705811</v>
      </c>
      <c r="K21">
        <f t="shared" ref="K21" si="29">$D$4*EXP(-$C$4*$E$4)*K20 -K$6*K19</f>
        <v>1.6435540203279846</v>
      </c>
      <c r="L21">
        <f t="shared" ref="L21" si="30">$D$4*EXP(-$C$4*$E$4)*L20 -L$6*L19</f>
        <v>1.6389726015815853</v>
      </c>
      <c r="M21">
        <f t="shared" ref="M21" si="31">$D$4*EXP(-$C$4*$E$4)*M20 -M$6*M19</f>
        <v>1.6344008171977844</v>
      </c>
      <c r="N21">
        <f t="shared" si="28"/>
        <v>1.3854441050872559</v>
      </c>
      <c r="O21">
        <f t="shared" si="28"/>
        <v>0.74833529905377283</v>
      </c>
      <c r="P21">
        <f t="shared" si="28"/>
        <v>0.37944458398430747</v>
      </c>
      <c r="Q21">
        <f t="shared" si="28"/>
        <v>0.18256471033499855</v>
      </c>
      <c r="R21">
        <f t="shared" si="28"/>
        <v>8.4177904522880542E-2</v>
      </c>
      <c r="S21">
        <f t="shared" si="28"/>
        <v>3.7517664008626439E-2</v>
      </c>
      <c r="T21">
        <f t="shared" si="28"/>
        <v>1.6281660283923E-2</v>
      </c>
      <c r="U21">
        <f t="shared" si="28"/>
        <v>6.9219320682656071E-3</v>
      </c>
      <c r="V21">
        <f t="shared" si="28"/>
        <v>2.897368724974668E-3</v>
      </c>
      <c r="W21">
        <f t="shared" si="28"/>
        <v>1.1990124819496635E-3</v>
      </c>
      <c r="X21">
        <f t="shared" si="28"/>
        <v>4.9222344544187085E-4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7"/>
  <sheetViews>
    <sheetView workbookViewId="0">
      <selection activeCell="E9" sqref="E9"/>
    </sheetView>
  </sheetViews>
  <sheetFormatPr defaultRowHeight="13.5" x14ac:dyDescent="0.15"/>
  <cols>
    <col min="2" max="2" width="15.125" bestFit="1" customWidth="1"/>
    <col min="3" max="3" width="19.25" bestFit="1" customWidth="1"/>
    <col min="4" max="4" width="16.375" bestFit="1" customWidth="1"/>
    <col min="9" max="9" width="10.25" customWidth="1"/>
  </cols>
  <sheetData>
    <row r="1" spans="1:12" x14ac:dyDescent="0.15">
      <c r="A1" s="17" t="s">
        <v>27</v>
      </c>
      <c r="B1" s="17"/>
      <c r="C1" s="17"/>
      <c r="D1" s="17"/>
    </row>
    <row r="3" spans="1:12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  <c r="F3" t="s">
        <v>47</v>
      </c>
      <c r="G3" t="s">
        <v>48</v>
      </c>
      <c r="H3" t="s">
        <v>49</v>
      </c>
    </row>
    <row r="4" spans="1:12" x14ac:dyDescent="0.15">
      <c r="A4" t="s">
        <v>29</v>
      </c>
      <c r="B4" s="4">
        <v>0.3</v>
      </c>
      <c r="C4" s="4">
        <v>0.06</v>
      </c>
      <c r="D4">
        <v>30</v>
      </c>
      <c r="E4">
        <v>0.5</v>
      </c>
      <c r="F4">
        <v>30</v>
      </c>
      <c r="G4">
        <f>callOption($C$4,$D$4,$E$4,$B$4,$F$4)</f>
        <v>2.9648001511756394</v>
      </c>
      <c r="H4">
        <f>putOption($C$4,$D$4,$E$4,$B$4,$F$4)</f>
        <v>2.0781661576308839</v>
      </c>
    </row>
    <row r="8" spans="1:12" x14ac:dyDescent="0.15">
      <c r="A8" t="s">
        <v>28</v>
      </c>
      <c r="B8" s="3" t="s">
        <v>50</v>
      </c>
      <c r="C8" t="s">
        <v>31</v>
      </c>
      <c r="D8" t="s">
        <v>32</v>
      </c>
      <c r="E8" t="s">
        <v>33</v>
      </c>
      <c r="F8" t="s">
        <v>47</v>
      </c>
      <c r="G8" t="s">
        <v>48</v>
      </c>
      <c r="H8" t="s">
        <v>49</v>
      </c>
      <c r="I8" t="s">
        <v>35</v>
      </c>
      <c r="J8" t="s">
        <v>36</v>
      </c>
      <c r="K8" t="s">
        <v>51</v>
      </c>
      <c r="L8" t="s">
        <v>52</v>
      </c>
    </row>
    <row r="9" spans="1:12" x14ac:dyDescent="0.15">
      <c r="A9" t="s">
        <v>29</v>
      </c>
      <c r="B9" s="8">
        <v>0.3</v>
      </c>
      <c r="C9" s="4">
        <v>0.03</v>
      </c>
      <c r="D9">
        <v>30</v>
      </c>
      <c r="E9">
        <v>0.5</v>
      </c>
      <c r="F9">
        <v>28.91</v>
      </c>
      <c r="G9">
        <v>1.89</v>
      </c>
      <c r="H9">
        <f>putOption($C$4,$D$4,$E$4,$B$4,$F$4)</f>
        <v>2.0781661576308839</v>
      </c>
      <c r="I9">
        <f>dOne($C9,$D9,$E9,$B9,$F9)</f>
        <v>2.3107041215509791E-3</v>
      </c>
      <c r="J9">
        <f>dTwo($C9,$D9,$E9,$B9,$F9)</f>
        <v>-0.20982133023441327</v>
      </c>
    </row>
    <row r="10" spans="1:12" x14ac:dyDescent="0.15">
      <c r="B10" s="8">
        <f>IV($C9,$D9,$E9,$B9,$F9,$G9)</f>
        <v>0.26679855593328605</v>
      </c>
      <c r="I10">
        <f>(LN(F9/D9)+(C9+0.5*B9^2)*E9)/(B9*SQRT(E9))</f>
        <v>2.3107041215509791E-3</v>
      </c>
    </row>
    <row r="13" spans="1:12" x14ac:dyDescent="0.15">
      <c r="B13" t="s">
        <v>53</v>
      </c>
      <c r="C13" t="s">
        <v>54</v>
      </c>
      <c r="D13" t="s">
        <v>55</v>
      </c>
      <c r="E13" t="s">
        <v>56</v>
      </c>
      <c r="F13" t="s">
        <v>35</v>
      </c>
      <c r="G13" t="s">
        <v>59</v>
      </c>
      <c r="H13" t="s">
        <v>57</v>
      </c>
      <c r="I13" t="s">
        <v>58</v>
      </c>
    </row>
    <row r="14" spans="1:12" x14ac:dyDescent="0.15">
      <c r="B14" s="8">
        <v>1</v>
      </c>
      <c r="C14">
        <f>callOption($C$9,$D$9,$E$9,$B14,$F$9)</f>
        <v>7.7595574311856712</v>
      </c>
      <c r="D14">
        <f>C14-$G$9</f>
        <v>5.8695574311856715</v>
      </c>
      <c r="E14">
        <f>VEGA($C$9,$D$9,$E$9,$B14,$F$9)</f>
        <v>7.7422776391420864</v>
      </c>
      <c r="F14">
        <f>dOne($C$9,$D$9,$E$9,B14,$F$9)</f>
        <v>0.32242679667634444</v>
      </c>
      <c r="G14">
        <f>_xlfn.NORM.S.DIST(F14,FALSE)</f>
        <v>0.3787351795549182</v>
      </c>
      <c r="H14">
        <f>$F$9*SQRT($E$9)*_xlfn.NORM.S.DIST(F14,FALSE)</f>
        <v>7.7422776391420864</v>
      </c>
      <c r="I14" s="8">
        <f>D14/H14</f>
        <v>0.7581176631423503</v>
      </c>
    </row>
    <row r="15" spans="1:12" x14ac:dyDescent="0.15">
      <c r="B15" s="8">
        <f>B14-I14</f>
        <v>0.2418823368576497</v>
      </c>
      <c r="C15">
        <f>callOption($C$9,$D$9,$E$9,$B15,$F$9)</f>
        <v>1.6869105778793454</v>
      </c>
      <c r="D15">
        <f>C15-$G$9</f>
        <v>-0.20308942212065451</v>
      </c>
      <c r="E15">
        <f>VEGA($C$9,$D$9,$E$9,$B15,$F$9)</f>
        <v>8.1477658236268464</v>
      </c>
      <c r="F15">
        <f>dOne($C$9,$D$9,$E$9,B15,$F$9)</f>
        <v>-4.3166536627993295E-2</v>
      </c>
      <c r="G15">
        <f>_xlfn.NORM.S.DIST(F15,FALSE)</f>
        <v>0.39857076896620813</v>
      </c>
      <c r="H15">
        <f>$F$9*SQRT($E$9)*_xlfn.NORM.S.DIST(F15,FALSE)</f>
        <v>8.1477658236268464</v>
      </c>
      <c r="I15" s="8">
        <f>D15/H15</f>
        <v>-2.4925780455267495E-2</v>
      </c>
    </row>
    <row r="16" spans="1:12" x14ac:dyDescent="0.15">
      <c r="B16" s="8">
        <f>B15-I15</f>
        <v>0.2668081173129172</v>
      </c>
      <c r="C16">
        <f>callOption($C$9,$D$9,$E$9,$B16,$F$9)</f>
        <v>1.8900779570489146</v>
      </c>
      <c r="D16">
        <f>C16-$G$9</f>
        <v>7.7957048914667482E-5</v>
      </c>
      <c r="E16">
        <f>VEGA($C$9,$D$9,$E$9,$B16,$F$9)</f>
        <v>8.1533270830143643</v>
      </c>
      <c r="F16">
        <f>dOne($C$9,$D$9,$E$9,B16,$F$9)</f>
        <v>-2.2331930044359571E-2</v>
      </c>
      <c r="G16">
        <f>_xlfn.NORM.S.DIST(F16,FALSE)</f>
        <v>0.39884281353382151</v>
      </c>
      <c r="H16">
        <f>$F$9*SQRT($E$9)*_xlfn.NORM.S.DIST(F16,FALSE)</f>
        <v>8.1533270830143643</v>
      </c>
      <c r="I16" s="8">
        <f>D16/H16</f>
        <v>9.5613788237532609E-6</v>
      </c>
    </row>
    <row r="17" spans="2:9" x14ac:dyDescent="0.15">
      <c r="B17" s="8">
        <f>B16-I16</f>
        <v>0.26679855593409346</v>
      </c>
      <c r="C17">
        <f>callOption($C$9,$D$9,$E$9,$B17,$F$9)</f>
        <v>1.8900000000065802</v>
      </c>
      <c r="D17">
        <f>C17-$G$9</f>
        <v>6.5802918669533028E-12</v>
      </c>
      <c r="E17">
        <f>VEGA($C$9,$D$9,$E$9,$B17,$F$9)</f>
        <v>8.1533257060132023</v>
      </c>
      <c r="F17">
        <f>dOne($C$9,$D$9,$E$9,B17,$F$9)</f>
        <v>-2.2339491400645856E-2</v>
      </c>
      <c r="G17">
        <f>_xlfn.NORM.S.DIST(F17,FALSE)</f>
        <v>0.39884274617395571</v>
      </c>
      <c r="H17">
        <f>$F$9*SQRT($E$9)*_xlfn.NORM.S.DIST(F17,FALSE)</f>
        <v>8.1533257060132023</v>
      </c>
      <c r="I17" s="8">
        <f>D17/H17</f>
        <v>8.0706844105347554E-13</v>
      </c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TextBox1">
          <controlPr defaultSize="0" autoLine="0" r:id="rId4">
            <anchor moveWithCells="1">
              <from>
                <xdr:col>10</xdr:col>
                <xdr:colOff>447675</xdr:colOff>
                <xdr:row>3</xdr:row>
                <xdr:rowOff>9525</xdr:rowOff>
              </from>
              <to>
                <xdr:col>12</xdr:col>
                <xdr:colOff>47625</xdr:colOff>
                <xdr:row>5</xdr:row>
                <xdr:rowOff>9525</xdr:rowOff>
              </to>
            </anchor>
          </controlPr>
        </control>
      </mc:Choice>
      <mc:Fallback>
        <control shapeId="3074" r:id="rId3" name="TextBox1"/>
      </mc:Fallback>
    </mc:AlternateContent>
    <mc:AlternateContent xmlns:mc="http://schemas.openxmlformats.org/markup-compatibility/2006">
      <mc:Choice Requires="x14">
        <control shapeId="3076" r:id="rId5" name="Label 4">
          <controlPr defaultSize="0" autoFill="0" autoLine="0" autoPict="0" macro="[0]!标签4_Click" altText="TEXT1">
            <anchor moveWithCells="1" sizeWithCells="1">
              <from>
                <xdr:col>8</xdr:col>
                <xdr:colOff>447675</xdr:colOff>
                <xdr:row>2</xdr:row>
                <xdr:rowOff>114300</xdr:rowOff>
              </from>
              <to>
                <xdr:col>9</xdr:col>
                <xdr:colOff>514350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1"/>
  <sheetViews>
    <sheetView workbookViewId="0">
      <selection activeCell="E16" sqref="E16"/>
    </sheetView>
  </sheetViews>
  <sheetFormatPr defaultRowHeight="13.5" x14ac:dyDescent="0.15"/>
  <cols>
    <col min="1" max="1" width="19.375" bestFit="1" customWidth="1"/>
  </cols>
  <sheetData>
    <row r="1" spans="1:6" x14ac:dyDescent="0.15">
      <c r="A1" s="17" t="s">
        <v>27</v>
      </c>
      <c r="B1" s="17"/>
      <c r="C1" s="17"/>
      <c r="D1" s="17"/>
    </row>
    <row r="3" spans="1:6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6" x14ac:dyDescent="0.15">
      <c r="A4" t="s">
        <v>29</v>
      </c>
      <c r="B4" s="4">
        <v>0.3</v>
      </c>
      <c r="C4" s="4">
        <v>0.03</v>
      </c>
      <c r="D4">
        <v>30</v>
      </c>
      <c r="E4">
        <v>1</v>
      </c>
    </row>
    <row r="6" spans="1:6" x14ac:dyDescent="0.15">
      <c r="A6" t="s">
        <v>34</v>
      </c>
      <c r="B6">
        <v>28.91</v>
      </c>
      <c r="C6">
        <v>4</v>
      </c>
      <c r="D6">
        <v>6</v>
      </c>
      <c r="E6">
        <v>8</v>
      </c>
      <c r="F6">
        <v>10</v>
      </c>
    </row>
    <row r="7" spans="1:6" x14ac:dyDescent="0.15">
      <c r="A7" t="s">
        <v>46</v>
      </c>
      <c r="B7">
        <f>B18</f>
        <v>3.3584733947837648</v>
      </c>
      <c r="C7">
        <f t="shared" ref="C7:F7" si="0">C18</f>
        <v>8.5440049034335221E-12</v>
      </c>
      <c r="D7">
        <f t="shared" si="0"/>
        <v>4.9062637068981067E-8</v>
      </c>
      <c r="E7">
        <f t="shared" si="0"/>
        <v>7.9944147080497662E-6</v>
      </c>
      <c r="F7">
        <f t="shared" si="0"/>
        <v>2.3114423685187922E-4</v>
      </c>
    </row>
    <row r="8" spans="1:6" x14ac:dyDescent="0.15">
      <c r="A8" t="s">
        <v>44</v>
      </c>
      <c r="B8">
        <f>MAX(B6-$D$4/EXP($C$4*$E$4),0)</f>
        <v>0</v>
      </c>
      <c r="C8">
        <f t="shared" ref="C8:F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</row>
    <row r="9" spans="1:6" x14ac:dyDescent="0.15">
      <c r="A9" s="5" t="s">
        <v>43</v>
      </c>
      <c r="B9" s="5">
        <f>B7-B8</f>
        <v>3.3584733947837648</v>
      </c>
      <c r="C9" s="5">
        <f>C7-C8</f>
        <v>8.5440049034335221E-12</v>
      </c>
      <c r="D9" s="5">
        <f>D7-D8</f>
        <v>4.9062637068981067E-8</v>
      </c>
      <c r="E9" s="5">
        <f>E7-E8</f>
        <v>7.9944147080497662E-6</v>
      </c>
      <c r="F9" s="5">
        <f>F7-F8</f>
        <v>2.3114423685187922E-4</v>
      </c>
    </row>
    <row r="10" spans="1:6" x14ac:dyDescent="0.15">
      <c r="A10" t="s">
        <v>45</v>
      </c>
      <c r="B10">
        <f>B21</f>
        <v>3.5618394012390091</v>
      </c>
      <c r="C10">
        <f t="shared" ref="C10:F10" si="2">C21</f>
        <v>25.113366006463789</v>
      </c>
      <c r="D10">
        <f t="shared" si="2"/>
        <v>23.113366055517879</v>
      </c>
      <c r="E10">
        <f t="shared" si="2"/>
        <v>21.113374000869953</v>
      </c>
      <c r="F10">
        <f t="shared" si="2"/>
        <v>19.113597150692097</v>
      </c>
    </row>
    <row r="11" spans="1:6" x14ac:dyDescent="0.15">
      <c r="A11" t="s">
        <v>44</v>
      </c>
      <c r="B11">
        <f>MAX($D$4/EXP($C$4*$E$4)-B$6,0)</f>
        <v>0.20336600645524427</v>
      </c>
      <c r="C11">
        <f t="shared" ref="C11:F11" si="3">MAX($D$4/EXP($C$4*$E$4)-C$6,0)</f>
        <v>25.113366006455244</v>
      </c>
      <c r="D11">
        <f t="shared" si="3"/>
        <v>23.113366006455244</v>
      </c>
      <c r="E11">
        <f t="shared" si="3"/>
        <v>21.113366006455244</v>
      </c>
      <c r="F11">
        <f t="shared" si="3"/>
        <v>19.113366006455244</v>
      </c>
    </row>
    <row r="12" spans="1:6" x14ac:dyDescent="0.15">
      <c r="A12" s="5" t="s">
        <v>43</v>
      </c>
      <c r="B12" s="5">
        <f>B10-B11</f>
        <v>3.3584733947837648</v>
      </c>
      <c r="C12" s="5">
        <f>C10-C11</f>
        <v>8.5442763975152047E-12</v>
      </c>
      <c r="D12" s="5">
        <f>D10-D11</f>
        <v>4.9062634843721753E-8</v>
      </c>
      <c r="E12" s="5">
        <f>E10-E11</f>
        <v>7.9944147088895079E-6</v>
      </c>
      <c r="F12" s="5">
        <f>F10-F11</f>
        <v>2.3114423685299812E-4</v>
      </c>
    </row>
    <row r="14" spans="1:6" x14ac:dyDescent="0.15">
      <c r="A14" t="s">
        <v>35</v>
      </c>
      <c r="B14">
        <f t="shared" ref="B14:E14" si="4">(LN(B$6/$D$4)+($C$4+0.5*$B$4^2)*$E$4)/($B$4*SQRT($E$4))</f>
        <v>0.12663391455366441</v>
      </c>
      <c r="C14">
        <f t="shared" si="4"/>
        <v>-6.4663434018075492</v>
      </c>
      <c r="D14">
        <f t="shared" si="4"/>
        <v>-5.1147930414470011</v>
      </c>
      <c r="E14">
        <f t="shared" si="4"/>
        <v>-4.1558527999410657</v>
      </c>
      <c r="F14">
        <f>(LN(F$6/$D$4)+($C$4+0.5*$B$4^2)*$E$4)/($B$4*SQRT($E$4))</f>
        <v>-3.4120409622270329</v>
      </c>
    </row>
    <row r="15" spans="1:6" x14ac:dyDescent="0.15">
      <c r="A15" t="s">
        <v>36</v>
      </c>
      <c r="B15">
        <f t="shared" ref="B15:E15" si="5">(LN(B$6/$D$4)+($C$4-0.5*$B$4^2)*$E$4)/($B$4*SQRT($E$4))</f>
        <v>-0.17336608544633561</v>
      </c>
      <c r="C15">
        <f t="shared" si="5"/>
        <v>-6.7663434018075499</v>
      </c>
      <c r="D15">
        <f t="shared" si="5"/>
        <v>-5.4147930414470009</v>
      </c>
      <c r="E15">
        <f t="shared" si="5"/>
        <v>-4.4558527999410646</v>
      </c>
      <c r="F15">
        <f>(LN(F$6/$D$4)+($C$4-0.5*$B$4^2)*$E$4)/($B$4*SQRT($E$4))</f>
        <v>-3.7120409622270323</v>
      </c>
    </row>
    <row r="16" spans="1:6" x14ac:dyDescent="0.15">
      <c r="A16" t="s">
        <v>37</v>
      </c>
      <c r="B16">
        <f t="shared" ref="B16:E17" si="6">NORMSDIST(B14)</f>
        <v>0.55038492345704837</v>
      </c>
      <c r="C16">
        <f t="shared" si="6"/>
        <v>5.0201385706553177E-11</v>
      </c>
      <c r="D16">
        <f t="shared" si="6"/>
        <v>1.5704256631134184E-7</v>
      </c>
      <c r="E16">
        <f t="shared" si="6"/>
        <v>1.6203821757130523E-5</v>
      </c>
      <c r="F16">
        <f>NORMSDIST(F14)</f>
        <v>3.2239211654314857E-4</v>
      </c>
    </row>
    <row r="17" spans="1:6" x14ac:dyDescent="0.15">
      <c r="A17" t="s">
        <v>38</v>
      </c>
      <c r="B17">
        <f t="shared" si="6"/>
        <v>0.43118184065614806</v>
      </c>
      <c r="C17">
        <f t="shared" si="6"/>
        <v>6.6038924485801282E-12</v>
      </c>
      <c r="D17">
        <f t="shared" si="6"/>
        <v>3.0679817668662022E-8</v>
      </c>
      <c r="E17">
        <f t="shared" si="6"/>
        <v>4.1780177297954587E-6</v>
      </c>
      <c r="F17">
        <f>NORMSDIST(F15)</f>
        <v>1.0279735183887787E-4</v>
      </c>
    </row>
    <row r="18" spans="1:6" x14ac:dyDescent="0.15">
      <c r="A18" t="s">
        <v>39</v>
      </c>
      <c r="B18">
        <f t="shared" ref="B18:E18" si="7">B$6*B16-$D$4*EXP(-$C$4*$E$4)*B17</f>
        <v>3.3584733947837648</v>
      </c>
      <c r="C18">
        <f t="shared" si="7"/>
        <v>8.5440049034335221E-12</v>
      </c>
      <c r="D18">
        <f t="shared" si="7"/>
        <v>4.9062637068981067E-8</v>
      </c>
      <c r="E18">
        <f t="shared" si="7"/>
        <v>7.9944147080497662E-6</v>
      </c>
      <c r="F18">
        <f>F$6*F16-$D$4*EXP(-$C$4*$E$4)*F17</f>
        <v>2.3114423685187922E-4</v>
      </c>
    </row>
    <row r="19" spans="1:6" x14ac:dyDescent="0.15">
      <c r="A19" t="s">
        <v>40</v>
      </c>
      <c r="B19">
        <f t="shared" ref="B19:E20" si="8">1-NORMSDIST(B14)</f>
        <v>0.44961507654295163</v>
      </c>
      <c r="C19">
        <f t="shared" si="8"/>
        <v>0.9999999999497986</v>
      </c>
      <c r="D19">
        <f t="shared" si="8"/>
        <v>0.99999984295743372</v>
      </c>
      <c r="E19">
        <f t="shared" si="8"/>
        <v>0.99998379617824285</v>
      </c>
      <c r="F19">
        <f>1-NORMSDIST(F14)</f>
        <v>0.99967760788345683</v>
      </c>
    </row>
    <row r="20" spans="1:6" x14ac:dyDescent="0.15">
      <c r="A20" t="s">
        <v>41</v>
      </c>
      <c r="B20">
        <f t="shared" si="8"/>
        <v>0.56881815934385194</v>
      </c>
      <c r="C20">
        <f t="shared" si="8"/>
        <v>0.99999999999339606</v>
      </c>
      <c r="D20">
        <f t="shared" si="8"/>
        <v>0.99999996932018231</v>
      </c>
      <c r="E20">
        <f t="shared" si="8"/>
        <v>0.99999582198227022</v>
      </c>
      <c r="F20">
        <f>1-NORMSDIST(F15)</f>
        <v>0.99989720264816118</v>
      </c>
    </row>
    <row r="21" spans="1:6" x14ac:dyDescent="0.15">
      <c r="A21" t="s">
        <v>42</v>
      </c>
      <c r="B21">
        <f t="shared" ref="B21:E21" si="9">$D$4*EXP(-$C$4*$E$4)*B20 -B$6*B19</f>
        <v>3.5618394012390091</v>
      </c>
      <c r="C21">
        <f t="shared" si="9"/>
        <v>25.113366006463789</v>
      </c>
      <c r="D21">
        <f t="shared" si="9"/>
        <v>23.113366055517879</v>
      </c>
      <c r="E21">
        <f t="shared" si="9"/>
        <v>21.113374000869953</v>
      </c>
      <c r="F21">
        <f>$D$4*EXP(-$C$4*$E$4)*F20 -F$6*F19</f>
        <v>19.113597150692097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0"/>
  <sheetViews>
    <sheetView topLeftCell="A4" workbookViewId="0">
      <selection activeCell="I19" sqref="I19"/>
    </sheetView>
  </sheetViews>
  <sheetFormatPr defaultRowHeight="13.5" x14ac:dyDescent="0.15"/>
  <cols>
    <col min="1" max="1" width="13.125" bestFit="1" customWidth="1"/>
    <col min="7" max="7" width="19.375" bestFit="1" customWidth="1"/>
  </cols>
  <sheetData>
    <row r="1" spans="1:13" x14ac:dyDescent="0.15">
      <c r="A1" t="s">
        <v>60</v>
      </c>
      <c r="B1">
        <v>20</v>
      </c>
    </row>
    <row r="2" spans="1:13" x14ac:dyDescent="0.15">
      <c r="A2" t="s">
        <v>61</v>
      </c>
      <c r="B2">
        <v>20</v>
      </c>
    </row>
    <row r="3" spans="1:13" x14ac:dyDescent="0.15">
      <c r="A3" t="s">
        <v>62</v>
      </c>
      <c r="B3" s="4">
        <v>0.03</v>
      </c>
    </row>
    <row r="4" spans="1:13" x14ac:dyDescent="0.15">
      <c r="A4" t="s">
        <v>63</v>
      </c>
      <c r="B4">
        <v>1</v>
      </c>
    </row>
    <row r="5" spans="1:13" x14ac:dyDescent="0.15">
      <c r="A5" t="s">
        <v>64</v>
      </c>
      <c r="B5" s="4">
        <v>0.25</v>
      </c>
    </row>
    <row r="7" spans="1:13" x14ac:dyDescent="0.15">
      <c r="A7" t="s">
        <v>65</v>
      </c>
      <c r="B7">
        <f>dOne($B$3,$B$2,$B$4,$B$5,$B$1)</f>
        <v>0.245</v>
      </c>
    </row>
    <row r="8" spans="1:13" x14ac:dyDescent="0.15">
      <c r="A8" t="s">
        <v>66</v>
      </c>
      <c r="B8">
        <f>dTwo($B$3,$B$2,$B$4,$B$5,$B$1)</f>
        <v>-5.0000000000000044E-3</v>
      </c>
    </row>
    <row r="9" spans="1:13" x14ac:dyDescent="0.15">
      <c r="A9" t="s">
        <v>67</v>
      </c>
      <c r="B9">
        <f>_xlfn.NORM.S.DIST(B7,TRUE)</f>
        <v>0.59677178432052447</v>
      </c>
    </row>
    <row r="10" spans="1:13" x14ac:dyDescent="0.15">
      <c r="A10" t="s">
        <v>68</v>
      </c>
      <c r="B10">
        <f>_xlfn.NORM.S.DIST(B8,TRUE)</f>
        <v>0.49800529690925915</v>
      </c>
    </row>
    <row r="11" spans="1:13" x14ac:dyDescent="0.15">
      <c r="A11" t="s">
        <v>69</v>
      </c>
      <c r="B11">
        <f>callOption($B$3,$B$2,$B$4,$B$5,$B$1)</f>
        <v>2.2696953650287064</v>
      </c>
    </row>
    <row r="13" spans="1:13" x14ac:dyDescent="0.15">
      <c r="A13" t="s">
        <v>70</v>
      </c>
      <c r="B13" t="s">
        <v>71</v>
      </c>
      <c r="E13" t="s">
        <v>72</v>
      </c>
      <c r="F13" t="s">
        <v>73</v>
      </c>
      <c r="G13" t="s">
        <v>74</v>
      </c>
      <c r="H13" t="s">
        <v>75</v>
      </c>
      <c r="J13" t="s">
        <v>72</v>
      </c>
      <c r="K13" t="s">
        <v>73</v>
      </c>
      <c r="L13" t="s">
        <v>75</v>
      </c>
      <c r="M13" t="s">
        <v>74</v>
      </c>
    </row>
    <row r="14" spans="1:13" x14ac:dyDescent="0.15">
      <c r="B14">
        <f>B11</f>
        <v>2.2696953650287064</v>
      </c>
      <c r="F14">
        <f>B11</f>
        <v>2.2696953650287064</v>
      </c>
      <c r="K14">
        <f>B11</f>
        <v>2.2696953650287064</v>
      </c>
    </row>
    <row r="15" spans="1:13" x14ac:dyDescent="0.15">
      <c r="A15" s="4">
        <v>0.01</v>
      </c>
      <c r="B15">
        <f t="dataTable" ref="B15:B29" dt2D="0" dtr="0" r1="B3" ca="1"/>
        <v>2.2696953650287064</v>
      </c>
      <c r="E15" s="4">
        <v>0.01</v>
      </c>
      <c r="F15">
        <f t="dataTable" ref="F15:F39" dt2D="0" dtr="0" r1="B5" ca="1"/>
        <v>0.5911646211712025</v>
      </c>
      <c r="G15">
        <f>VEGA($B$3,$B$2,$B$4,E15,$B$1)</f>
        <v>8.7316244242345423E-2</v>
      </c>
      <c r="H15">
        <f>(F16-F15)/(E16-E15)</f>
        <v>1.1472479307059302</v>
      </c>
      <c r="J15" s="9">
        <v>0.01</v>
      </c>
      <c r="K15">
        <f t="dataTable" ref="K15:K160" dt2D="0" dtr="0" r1="B5" ca="1"/>
        <v>0.5911646211712025</v>
      </c>
      <c r="L15">
        <f t="shared" ref="L15:L46" si="0">(K16-K15)/(J16-J15)</f>
        <v>0.19926631686040253</v>
      </c>
      <c r="M15">
        <f t="shared" ref="M15:M46" si="1">VEGA($B$3,$B$2,$B$4,J15,$B$1)</f>
        <v>8.7316244242345423E-2</v>
      </c>
    </row>
    <row r="16" spans="1:13" x14ac:dyDescent="0.15">
      <c r="A16" s="4">
        <v>0.02</v>
      </c>
      <c r="B16">
        <v>2.2696953650287064</v>
      </c>
      <c r="E16" s="4">
        <v>0.02</v>
      </c>
      <c r="F16">
        <v>0.6026371004782618</v>
      </c>
      <c r="G16">
        <f t="shared" ref="G16:G38" si="2">VEGA($B$3,$B$2,$B$4,E16,$B$1)</f>
        <v>2.5516590114428386</v>
      </c>
      <c r="H16">
        <f t="shared" ref="H16:H39" si="3">(F17-F16)/(E17-E16)</f>
        <v>3.7693750994105106</v>
      </c>
      <c r="J16" s="9">
        <v>1.2E-2</v>
      </c>
      <c r="K16">
        <v>0.5915631538049233</v>
      </c>
      <c r="L16">
        <f t="shared" si="0"/>
        <v>0.55496965615908778</v>
      </c>
      <c r="M16">
        <f t="shared" si="1"/>
        <v>0.34534054575752349</v>
      </c>
    </row>
    <row r="17" spans="1:13" x14ac:dyDescent="0.15">
      <c r="A17" s="4">
        <v>0.03</v>
      </c>
      <c r="B17">
        <v>2.2696953650287064</v>
      </c>
      <c r="E17" s="4">
        <v>0.03</v>
      </c>
      <c r="F17">
        <v>0.6403308514723669</v>
      </c>
      <c r="G17">
        <f t="shared" si="2"/>
        <v>4.7668286967696289</v>
      </c>
      <c r="H17">
        <f t="shared" si="3"/>
        <v>5.4117810745756492</v>
      </c>
      <c r="J17" s="9">
        <v>1.4E-2</v>
      </c>
      <c r="K17">
        <v>0.59267309311724148</v>
      </c>
      <c r="L17">
        <f t="shared" si="0"/>
        <v>1.0668754015590309</v>
      </c>
      <c r="M17">
        <f t="shared" si="1"/>
        <v>0.79124381128300325</v>
      </c>
    </row>
    <row r="18" spans="1:13" x14ac:dyDescent="0.15">
      <c r="A18" s="4">
        <v>0.04</v>
      </c>
      <c r="B18">
        <v>2.2696953650287064</v>
      </c>
      <c r="E18" s="4">
        <v>0.04</v>
      </c>
      <c r="F18">
        <v>0.6944486622181234</v>
      </c>
      <c r="G18">
        <f t="shared" si="2"/>
        <v>5.9318950998763151</v>
      </c>
      <c r="H18">
        <f t="shared" si="3"/>
        <v>6.2774229058302202</v>
      </c>
      <c r="J18" s="9">
        <v>1.6E-2</v>
      </c>
      <c r="K18">
        <v>0.59480684392035954</v>
      </c>
      <c r="L18">
        <f t="shared" si="0"/>
        <v>1.6567833617155954</v>
      </c>
      <c r="M18">
        <f t="shared" si="1"/>
        <v>1.3552002648517301</v>
      </c>
    </row>
    <row r="19" spans="1:13" x14ac:dyDescent="0.15">
      <c r="A19" s="4">
        <v>0.05</v>
      </c>
      <c r="B19">
        <v>2.2696953650287064</v>
      </c>
      <c r="E19" s="4">
        <v>0.05</v>
      </c>
      <c r="F19">
        <v>0.75722289127642561</v>
      </c>
      <c r="G19">
        <f t="shared" si="2"/>
        <v>6.5632193710075013</v>
      </c>
      <c r="H19">
        <f t="shared" si="3"/>
        <v>6.7634885999302332</v>
      </c>
      <c r="J19" s="9">
        <v>1.8000000000000002E-2</v>
      </c>
      <c r="K19">
        <v>0.59812041064379073</v>
      </c>
      <c r="L19">
        <f t="shared" si="0"/>
        <v>2.2583449172355348</v>
      </c>
      <c r="M19">
        <f t="shared" si="1"/>
        <v>1.9598429675982298</v>
      </c>
    </row>
    <row r="20" spans="1:13" x14ac:dyDescent="0.15">
      <c r="A20" s="4">
        <v>6.0000000000000005E-2</v>
      </c>
      <c r="B20">
        <v>2.2696953650287064</v>
      </c>
      <c r="E20" s="4">
        <v>6.0000000000000005E-2</v>
      </c>
      <c r="F20">
        <v>0.82485777727572795</v>
      </c>
      <c r="G20">
        <f t="shared" si="2"/>
        <v>6.9333544267158329</v>
      </c>
      <c r="H20">
        <f t="shared" si="3"/>
        <v>7.0580358296515735</v>
      </c>
      <c r="J20" s="9">
        <v>0.02</v>
      </c>
      <c r="K20">
        <v>0.6026371004782618</v>
      </c>
      <c r="L20">
        <f t="shared" si="0"/>
        <v>2.8308938054628663</v>
      </c>
      <c r="M20">
        <f t="shared" si="1"/>
        <v>2.5516590114428386</v>
      </c>
    </row>
    <row r="21" spans="1:13" x14ac:dyDescent="0.15">
      <c r="A21" s="4">
        <v>6.9999999999999993E-2</v>
      </c>
      <c r="B21">
        <v>2.2696953650287064</v>
      </c>
      <c r="E21" s="4">
        <v>6.9999999999999993E-2</v>
      </c>
      <c r="F21">
        <v>0.89543813557224361</v>
      </c>
      <c r="G21">
        <f t="shared" si="2"/>
        <v>7.1659776906477424</v>
      </c>
      <c r="H21">
        <f t="shared" si="3"/>
        <v>7.2481865752715473</v>
      </c>
      <c r="J21" s="9">
        <v>2.1999999999999999E-2</v>
      </c>
      <c r="K21">
        <v>0.60829888808918753</v>
      </c>
      <c r="L21">
        <f t="shared" si="0"/>
        <v>3.3547273031899718</v>
      </c>
      <c r="M21">
        <f t="shared" si="1"/>
        <v>3.1017956143383039</v>
      </c>
    </row>
    <row r="22" spans="1:13" x14ac:dyDescent="0.15">
      <c r="A22" s="4">
        <v>0.08</v>
      </c>
      <c r="B22">
        <v>2.2696953650287064</v>
      </c>
      <c r="E22" s="4">
        <v>0.08</v>
      </c>
      <c r="F22">
        <v>0.96792000132495914</v>
      </c>
      <c r="G22">
        <f t="shared" si="2"/>
        <v>7.3205190969980212</v>
      </c>
      <c r="H22">
        <f t="shared" si="3"/>
        <v>7.3772309328072474</v>
      </c>
      <c r="J22" s="9">
        <v>2.4E-2</v>
      </c>
      <c r="K22">
        <v>0.61500834269556748</v>
      </c>
      <c r="L22">
        <f t="shared" si="0"/>
        <v>3.8233104425895412</v>
      </c>
      <c r="M22">
        <f t="shared" si="1"/>
        <v>3.5983368059089575</v>
      </c>
    </row>
    <row r="23" spans="1:13" x14ac:dyDescent="0.15">
      <c r="A23" s="4">
        <v>0.09</v>
      </c>
      <c r="B23">
        <v>2.2696953650287064</v>
      </c>
      <c r="E23" s="4">
        <v>0.09</v>
      </c>
      <c r="F23">
        <v>1.0416923106530316</v>
      </c>
      <c r="G23">
        <f t="shared" si="2"/>
        <v>7.4277700423605513</v>
      </c>
      <c r="H23">
        <f t="shared" si="3"/>
        <v>7.4683119534714884</v>
      </c>
      <c r="J23" s="9">
        <v>2.6000000000000002E-2</v>
      </c>
      <c r="K23">
        <v>0.62265496358074657</v>
      </c>
      <c r="L23">
        <f t="shared" si="0"/>
        <v>4.2372744204257593</v>
      </c>
      <c r="M23">
        <f t="shared" si="1"/>
        <v>4.0391277571869555</v>
      </c>
    </row>
    <row r="24" spans="1:13" x14ac:dyDescent="0.15">
      <c r="A24" s="4">
        <v>9.9999999999999992E-2</v>
      </c>
      <c r="B24">
        <v>2.2696953650287064</v>
      </c>
      <c r="E24" s="4">
        <v>9.9999999999999992E-2</v>
      </c>
      <c r="F24">
        <v>1.1163754301877464</v>
      </c>
      <c r="G24">
        <f t="shared" si="2"/>
        <v>7.5048069383387581</v>
      </c>
      <c r="H24">
        <f t="shared" si="3"/>
        <v>7.5346158650958657</v>
      </c>
      <c r="J24" s="9">
        <v>2.8000000000000004E-2</v>
      </c>
      <c r="K24">
        <v>0.63112951242159809</v>
      </c>
      <c r="L24">
        <f t="shared" si="0"/>
        <v>4.6006695253844159</v>
      </c>
      <c r="M24">
        <f t="shared" si="1"/>
        <v>4.4269734148937658</v>
      </c>
    </row>
    <row r="25" spans="1:13" x14ac:dyDescent="0.15">
      <c r="A25" s="4">
        <v>0.11</v>
      </c>
      <c r="B25">
        <v>2.2696953650287064</v>
      </c>
      <c r="E25" s="4">
        <v>0.11</v>
      </c>
      <c r="F25">
        <v>1.1917215888387052</v>
      </c>
      <c r="G25">
        <f t="shared" si="2"/>
        <v>7.5616631373115428</v>
      </c>
      <c r="H25">
        <f t="shared" si="3"/>
        <v>7.5840699883540843</v>
      </c>
      <c r="J25" s="9">
        <v>0.03</v>
      </c>
      <c r="K25">
        <v>0.6403308514723669</v>
      </c>
      <c r="L25">
        <f t="shared" si="0"/>
        <v>4.9188561776283235</v>
      </c>
      <c r="M25">
        <f t="shared" si="1"/>
        <v>4.7668286967696289</v>
      </c>
    </row>
    <row r="26" spans="1:13" x14ac:dyDescent="0.15">
      <c r="A26" s="4">
        <v>0.12</v>
      </c>
      <c r="B26">
        <v>2.2696953650287064</v>
      </c>
      <c r="E26" s="4">
        <v>0.12</v>
      </c>
      <c r="F26">
        <v>1.267562288722246</v>
      </c>
      <c r="G26">
        <f t="shared" si="2"/>
        <v>7.6045270950264987</v>
      </c>
      <c r="H26">
        <f t="shared" si="3"/>
        <v>7.6216599919094392</v>
      </c>
      <c r="J26" s="9">
        <v>3.2000000000000001E-2</v>
      </c>
      <c r="K26">
        <v>0.65016856382762356</v>
      </c>
      <c r="L26">
        <f t="shared" si="0"/>
        <v>5.1974044162319499</v>
      </c>
      <c r="M26">
        <f t="shared" si="1"/>
        <v>5.0642832400104982</v>
      </c>
    </row>
    <row r="27" spans="1:13" x14ac:dyDescent="0.15">
      <c r="A27" s="4">
        <v>0.13</v>
      </c>
      <c r="B27">
        <v>2.2696953650287064</v>
      </c>
      <c r="E27" s="4">
        <v>0.13</v>
      </c>
      <c r="F27">
        <v>1.3437788886413404</v>
      </c>
      <c r="G27">
        <f t="shared" si="2"/>
        <v>7.6373754862162269</v>
      </c>
      <c r="H27">
        <f t="shared" si="3"/>
        <v>7.6506434889491644</v>
      </c>
      <c r="J27" s="9">
        <v>3.4000000000000002E-2</v>
      </c>
      <c r="K27">
        <v>0.66056337266008747</v>
      </c>
      <c r="L27">
        <f t="shared" si="0"/>
        <v>5.4415669070282346</v>
      </c>
      <c r="M27">
        <f t="shared" si="1"/>
        <v>5.324803896387813</v>
      </c>
    </row>
    <row r="28" spans="1:13" x14ac:dyDescent="0.15">
      <c r="A28" s="4">
        <v>0.14000000000000001</v>
      </c>
      <c r="B28">
        <v>2.2696953650287064</v>
      </c>
      <c r="E28" s="4">
        <v>0.14000000000000001</v>
      </c>
      <c r="F28">
        <v>1.4202853235308321</v>
      </c>
      <c r="G28">
        <f t="shared" si="2"/>
        <v>7.662854440303418</v>
      </c>
      <c r="H28">
        <f t="shared" si="3"/>
        <v>7.6732195251691877</v>
      </c>
      <c r="J28" s="9">
        <v>3.6000000000000004E-2</v>
      </c>
      <c r="K28">
        <v>0.67144650647414394</v>
      </c>
      <c r="L28">
        <f t="shared" si="0"/>
        <v>5.6560618957499784</v>
      </c>
      <c r="M28">
        <f t="shared" si="1"/>
        <v>5.5533953647269287</v>
      </c>
    </row>
    <row r="29" spans="1:13" x14ac:dyDescent="0.15">
      <c r="A29" s="4">
        <v>0.15</v>
      </c>
      <c r="B29">
        <v>2.2696953650287064</v>
      </c>
      <c r="E29" s="4">
        <v>0.15000000000000002</v>
      </c>
      <c r="F29">
        <v>1.4970175187825241</v>
      </c>
      <c r="G29">
        <f t="shared" si="2"/>
        <v>7.6827783061140948</v>
      </c>
      <c r="H29">
        <f t="shared" si="3"/>
        <v>7.6909148755406918</v>
      </c>
      <c r="J29" s="9">
        <v>3.7999999999999999E-2</v>
      </c>
      <c r="K29">
        <v>0.68275863026564387</v>
      </c>
      <c r="L29">
        <f t="shared" si="0"/>
        <v>5.8450159762397593</v>
      </c>
      <c r="M29">
        <f t="shared" si="1"/>
        <v>5.7544812052147307</v>
      </c>
    </row>
    <row r="30" spans="1:13" x14ac:dyDescent="0.15">
      <c r="E30" s="4">
        <v>0.16</v>
      </c>
      <c r="F30">
        <v>1.5739266675379309</v>
      </c>
      <c r="G30">
        <f t="shared" si="2"/>
        <v>7.6984238673038705</v>
      </c>
      <c r="H30">
        <f t="shared" si="3"/>
        <v>7.7048157997816986</v>
      </c>
      <c r="J30" s="9">
        <v>0.04</v>
      </c>
      <c r="K30">
        <v>0.6944486622181234</v>
      </c>
      <c r="L30">
        <f t="shared" si="0"/>
        <v>6.0119842589889618</v>
      </c>
      <c r="M30">
        <f t="shared" si="1"/>
        <v>5.9318950998763151</v>
      </c>
    </row>
    <row r="31" spans="1:13" x14ac:dyDescent="0.15">
      <c r="E31" s="4">
        <v>0.17</v>
      </c>
      <c r="F31">
        <v>1.6509748255357479</v>
      </c>
      <c r="G31">
        <f t="shared" si="2"/>
        <v>7.7107102664878173</v>
      </c>
      <c r="H31">
        <f t="shared" si="3"/>
        <v>7.7157118959343336</v>
      </c>
      <c r="J31" s="9">
        <v>4.2000000000000003E-2</v>
      </c>
      <c r="K31">
        <v>0.70647263073610134</v>
      </c>
      <c r="L31">
        <f t="shared" si="0"/>
        <v>6.1600040074791753</v>
      </c>
      <c r="M31">
        <f t="shared" si="1"/>
        <v>6.0889228827343622</v>
      </c>
    </row>
    <row r="32" spans="1:13" x14ac:dyDescent="0.15">
      <c r="E32" s="4">
        <v>0.18000000000000002</v>
      </c>
      <c r="F32">
        <v>1.7281319444950913</v>
      </c>
      <c r="G32">
        <f t="shared" si="2"/>
        <v>7.7203125692388275</v>
      </c>
      <c r="H32">
        <f t="shared" si="3"/>
        <v>7.7241881036212021</v>
      </c>
      <c r="J32" s="9">
        <v>4.4000000000000004E-2</v>
      </c>
      <c r="K32">
        <v>0.7187926387510597</v>
      </c>
      <c r="L32">
        <f t="shared" si="0"/>
        <v>6.2916590832244825</v>
      </c>
      <c r="M32">
        <f t="shared" si="1"/>
        <v>6.2283641608634461</v>
      </c>
    </row>
    <row r="33" spans="5:13" x14ac:dyDescent="0.15">
      <c r="E33" s="4">
        <v>0.19</v>
      </c>
      <c r="F33">
        <v>1.8053738255313032</v>
      </c>
      <c r="G33">
        <f t="shared" si="2"/>
        <v>7.7277354710525845</v>
      </c>
      <c r="H33">
        <f t="shared" si="3"/>
        <v>7.7306851239299519</v>
      </c>
      <c r="J33" s="9">
        <v>4.6000000000000006E-2</v>
      </c>
      <c r="K33">
        <v>0.73137595691750867</v>
      </c>
      <c r="L33">
        <f t="shared" si="0"/>
        <v>6.409144073131773</v>
      </c>
      <c r="M33">
        <f t="shared" si="1"/>
        <v>6.3525978147052955</v>
      </c>
    </row>
    <row r="34" spans="5:13" x14ac:dyDescent="0.15">
      <c r="E34" s="4">
        <v>0.2</v>
      </c>
      <c r="F34">
        <v>1.8826806767706028</v>
      </c>
      <c r="G34">
        <f t="shared" si="2"/>
        <v>7.7333623360569845</v>
      </c>
      <c r="H34">
        <f t="shared" si="3"/>
        <v>7.7355400440556039</v>
      </c>
      <c r="J34" s="9">
        <v>4.8000000000000001E-2</v>
      </c>
      <c r="K34">
        <v>0.74419424506377219</v>
      </c>
      <c r="L34">
        <f t="shared" si="0"/>
        <v>6.5143231063267075</v>
      </c>
      <c r="M34">
        <f t="shared" si="1"/>
        <v>6.4636439670650994</v>
      </c>
    </row>
    <row r="35" spans="5:13" x14ac:dyDescent="0.15">
      <c r="E35" s="4">
        <v>0.21000000000000002</v>
      </c>
      <c r="F35">
        <v>1.9600360772111589</v>
      </c>
      <c r="G35">
        <f t="shared" si="2"/>
        <v>7.7374885539707607</v>
      </c>
      <c r="H35">
        <f t="shared" si="3"/>
        <v>7.7390142346121991</v>
      </c>
      <c r="J35" s="9">
        <v>0.05</v>
      </c>
      <c r="K35">
        <v>0.75722289127642561</v>
      </c>
      <c r="L35">
        <f t="shared" si="0"/>
        <v>6.6087815484525629</v>
      </c>
      <c r="M35">
        <f t="shared" si="1"/>
        <v>6.5632193710075013</v>
      </c>
    </row>
    <row r="36" spans="5:13" x14ac:dyDescent="0.15">
      <c r="E36" s="4">
        <v>0.22</v>
      </c>
      <c r="F36">
        <v>2.0374262195572808</v>
      </c>
      <c r="G36">
        <f t="shared" si="2"/>
        <v>7.7403446860244438</v>
      </c>
      <c r="H36">
        <f t="shared" si="3"/>
        <v>7.7413128743753319</v>
      </c>
      <c r="J36" s="9">
        <v>5.2000000000000005E-2</v>
      </c>
      <c r="K36">
        <v>0.77044045437333075</v>
      </c>
      <c r="L36">
        <f t="shared" si="0"/>
        <v>6.6938703454440143</v>
      </c>
      <c r="M36">
        <f t="shared" si="1"/>
        <v>6.6527853859737265</v>
      </c>
    </row>
    <row r="37" spans="5:13" x14ac:dyDescent="0.15">
      <c r="E37" s="4">
        <v>0.23</v>
      </c>
      <c r="F37">
        <v>2.1148393483010341</v>
      </c>
      <c r="G37">
        <f t="shared" si="2"/>
        <v>7.7421128167564746</v>
      </c>
      <c r="H37">
        <f t="shared" si="3"/>
        <v>7.7425988521078111</v>
      </c>
      <c r="J37" s="9">
        <v>5.3999999999999999E-2</v>
      </c>
      <c r="K37">
        <v>0.78382819506421875</v>
      </c>
      <c r="L37">
        <f t="shared" si="0"/>
        <v>6.7707435213968319</v>
      </c>
      <c r="M37">
        <f t="shared" si="1"/>
        <v>6.7335887803487937</v>
      </c>
    </row>
    <row r="38" spans="5:13" x14ac:dyDescent="0.15">
      <c r="E38" s="4">
        <v>0.24000000000000002</v>
      </c>
      <c r="F38">
        <v>2.1922653368221123</v>
      </c>
      <c r="G38">
        <f t="shared" si="2"/>
        <v>7.7429382958509212</v>
      </c>
      <c r="H38">
        <f t="shared" si="3"/>
        <v>7.7430028206594201</v>
      </c>
      <c r="J38" s="9">
        <v>5.6000000000000001E-2</v>
      </c>
      <c r="K38">
        <v>0.79736968210701242</v>
      </c>
      <c r="L38">
        <f t="shared" si="0"/>
        <v>6.8403896224822285</v>
      </c>
      <c r="M38">
        <f t="shared" si="1"/>
        <v>6.8066960601066722</v>
      </c>
    </row>
    <row r="39" spans="5:13" x14ac:dyDescent="0.15">
      <c r="E39" s="4">
        <v>0.25</v>
      </c>
      <c r="F39">
        <v>2.2696953650287064</v>
      </c>
      <c r="G39">
        <f>VEGA($B$3,$B$2,$B$4,E39,$B$1)</f>
        <v>7.7429382958509212</v>
      </c>
      <c r="H39">
        <f t="shared" si="3"/>
        <v>9.0787814601148256</v>
      </c>
      <c r="J39" s="9">
        <v>5.8000000000000003E-2</v>
      </c>
      <c r="K39">
        <v>0.81105046135197689</v>
      </c>
      <c r="L39">
        <f t="shared" si="0"/>
        <v>6.9036579618755249</v>
      </c>
      <c r="M39">
        <f t="shared" si="1"/>
        <v>6.8730221721579259</v>
      </c>
    </row>
    <row r="40" spans="5:13" x14ac:dyDescent="0.15">
      <c r="E40" s="4"/>
      <c r="J40" s="9">
        <v>6.0000000000000005E-2</v>
      </c>
      <c r="K40">
        <v>0.82485777727572795</v>
      </c>
      <c r="L40">
        <f t="shared" si="0"/>
        <v>6.9612804769096863</v>
      </c>
      <c r="M40">
        <f t="shared" si="1"/>
        <v>6.9333544267158329</v>
      </c>
    </row>
    <row r="41" spans="5:13" x14ac:dyDescent="0.15">
      <c r="E41" s="4"/>
      <c r="J41" s="9">
        <v>6.2000000000000006E-2</v>
      </c>
      <c r="K41">
        <v>0.83878033822954734</v>
      </c>
      <c r="L41">
        <f t="shared" si="0"/>
        <v>7.0138899218230755</v>
      </c>
      <c r="M41">
        <f t="shared" si="1"/>
        <v>6.988372409986888</v>
      </c>
    </row>
    <row r="42" spans="5:13" x14ac:dyDescent="0.15">
      <c r="E42" s="4"/>
      <c r="J42" s="9">
        <v>6.4000000000000001E-2</v>
      </c>
      <c r="K42">
        <v>0.85280811807319346</v>
      </c>
      <c r="L42">
        <f t="shared" si="0"/>
        <v>7.0620350190830843</v>
      </c>
      <c r="M42">
        <f t="shared" si="1"/>
        <v>7.038664560740556</v>
      </c>
    </row>
    <row r="43" spans="5:13" x14ac:dyDescent="0.15">
      <c r="E43" s="4"/>
      <c r="J43" s="9">
        <v>6.6000000000000003E-2</v>
      </c>
      <c r="K43">
        <v>0.86693218811135964</v>
      </c>
      <c r="L43">
        <f t="shared" si="0"/>
        <v>7.106193094745799</v>
      </c>
      <c r="M43">
        <f t="shared" si="1"/>
        <v>7.0847419837542187</v>
      </c>
    </row>
    <row r="44" spans="5:13" x14ac:dyDescent="0.15">
      <c r="E44" s="4"/>
      <c r="J44" s="9">
        <v>6.8000000000000005E-2</v>
      </c>
      <c r="K44">
        <v>0.88114457430085125</v>
      </c>
      <c r="L44">
        <f t="shared" si="0"/>
        <v>7.1467806356962251</v>
      </c>
      <c r="M44">
        <f t="shared" si="1"/>
        <v>7.1270499798965314</v>
      </c>
    </row>
    <row r="45" spans="5:13" x14ac:dyDescent="0.15">
      <c r="J45" s="9">
        <v>6.9999999999999993E-2</v>
      </c>
      <c r="K45">
        <v>0.89543813557224361</v>
      </c>
      <c r="L45">
        <f t="shared" si="0"/>
        <v>7.1841621306498675</v>
      </c>
      <c r="M45">
        <f t="shared" si="1"/>
        <v>7.1659776906477424</v>
      </c>
    </row>
    <row r="46" spans="5:13" x14ac:dyDescent="0.15">
      <c r="J46" s="9">
        <v>7.1999999999999995E-2</v>
      </c>
      <c r="K46">
        <v>0.90980645983354336</v>
      </c>
      <c r="L46">
        <f t="shared" si="0"/>
        <v>7.2186574925741036</v>
      </c>
      <c r="M46">
        <f t="shared" si="1"/>
        <v>7.2018661849652794</v>
      </c>
    </row>
    <row r="47" spans="5:13" x14ac:dyDescent="0.15">
      <c r="J47" s="9">
        <v>7.3999999999999996E-2</v>
      </c>
      <c r="K47">
        <v>0.92424377481869158</v>
      </c>
      <c r="L47">
        <f t="shared" ref="L47:L78" si="4">(K48-K47)/(J48-J47)</f>
        <v>7.2505483070770476</v>
      </c>
      <c r="M47">
        <f t="shared" ref="M47:M79" si="5">VEGA($B$3,$B$2,$B$4,J47,$B$1)</f>
        <v>7.2350152579069427</v>
      </c>
    </row>
    <row r="48" spans="5:13" x14ac:dyDescent="0.15">
      <c r="J48" s="9">
        <v>7.5999999999999998E-2</v>
      </c>
      <c r="K48">
        <v>0.93874487143284568</v>
      </c>
      <c r="L48">
        <f t="shared" si="4"/>
        <v>7.2800831071626542</v>
      </c>
      <c r="M48">
        <f t="shared" si="5"/>
        <v>7.2656891620296697</v>
      </c>
    </row>
    <row r="49" spans="10:13" x14ac:dyDescent="0.15">
      <c r="J49" s="9">
        <v>7.8E-2</v>
      </c>
      <c r="K49">
        <v>0.95330503764717101</v>
      </c>
      <c r="L49">
        <f t="shared" si="4"/>
        <v>7.3074818388940637</v>
      </c>
      <c r="M49">
        <f t="shared" si="5"/>
        <v>7.2941214528319112</v>
      </c>
    </row>
    <row r="50" spans="10:13" x14ac:dyDescent="0.15">
      <c r="J50" s="9">
        <v>0.08</v>
      </c>
      <c r="K50">
        <v>0.96792000132495914</v>
      </c>
      <c r="L50">
        <f t="shared" si="4"/>
        <v>7.332939652890496</v>
      </c>
      <c r="M50">
        <f t="shared" si="5"/>
        <v>7.3205190969980212</v>
      </c>
    </row>
    <row r="51" spans="10:13" x14ac:dyDescent="0.15">
      <c r="J51" s="9">
        <v>8.2000000000000003E-2</v>
      </c>
      <c r="K51">
        <v>0.98258588063074015</v>
      </c>
      <c r="L51">
        <f t="shared" si="4"/>
        <v>7.3566301328771733</v>
      </c>
      <c r="M51">
        <f t="shared" si="5"/>
        <v>7.3450659656764019</v>
      </c>
    </row>
    <row r="52" spans="10:13" x14ac:dyDescent="0.15">
      <c r="J52" s="9">
        <v>8.3999999999999991E-2</v>
      </c>
      <c r="K52">
        <v>0.99729914089649441</v>
      </c>
      <c r="L52">
        <f t="shared" si="4"/>
        <v>7.3787080526157505</v>
      </c>
      <c r="M52">
        <f t="shared" si="5"/>
        <v>7.3679258133978429</v>
      </c>
    </row>
    <row r="53" spans="10:13" x14ac:dyDescent="0.15">
      <c r="J53" s="9">
        <v>8.5999999999999993E-2</v>
      </c>
      <c r="K53">
        <v>1.0120565570017259</v>
      </c>
      <c r="L53">
        <f t="shared" si="4"/>
        <v>7.399311736856256</v>
      </c>
      <c r="M53">
        <f t="shared" si="5"/>
        <v>7.3892448256097953</v>
      </c>
    </row>
    <row r="54" spans="10:13" x14ac:dyDescent="0.15">
      <c r="J54" s="9">
        <v>8.7999999999999995E-2</v>
      </c>
      <c r="K54">
        <v>1.0268551804754384</v>
      </c>
      <c r="L54">
        <f t="shared" si="4"/>
        <v>7.4185650887965631</v>
      </c>
      <c r="M54">
        <f t="shared" si="5"/>
        <v>7.4091538034164195</v>
      </c>
    </row>
    <row r="55" spans="10:13" x14ac:dyDescent="0.15">
      <c r="J55" s="9">
        <v>0.09</v>
      </c>
      <c r="K55">
        <v>1.0416923106530316</v>
      </c>
      <c r="L55">
        <f t="shared" si="4"/>
        <v>7.4365793358985792</v>
      </c>
      <c r="M55">
        <f t="shared" si="5"/>
        <v>7.4277700423605513</v>
      </c>
    </row>
    <row r="56" spans="10:13" x14ac:dyDescent="0.15">
      <c r="J56" s="9">
        <v>9.1999999999999998E-2</v>
      </c>
      <c r="K56">
        <v>1.0565654693248288</v>
      </c>
      <c r="L56">
        <f t="shared" si="4"/>
        <v>7.4534545372557597</v>
      </c>
      <c r="M56">
        <f t="shared" si="5"/>
        <v>7.4451989524639473</v>
      </c>
    </row>
    <row r="57" spans="10:13" x14ac:dyDescent="0.15">
      <c r="J57" s="9">
        <v>9.4E-2</v>
      </c>
      <c r="K57">
        <v>1.0714723783993403</v>
      </c>
      <c r="L57">
        <f t="shared" si="4"/>
        <v>7.4692808884142474</v>
      </c>
      <c r="M57">
        <f t="shared" si="5"/>
        <v>7.4615354588532004</v>
      </c>
    </row>
    <row r="58" spans="10:13" x14ac:dyDescent="0.15">
      <c r="J58" s="9">
        <v>9.6000000000000002E-2</v>
      </c>
      <c r="K58">
        <v>1.0864109401761688</v>
      </c>
      <c r="L58">
        <f t="shared" si="4"/>
        <v>7.4841398538066271</v>
      </c>
      <c r="M58">
        <f t="shared" si="5"/>
        <v>7.4768652158147821</v>
      </c>
    </row>
    <row r="59" spans="10:13" x14ac:dyDescent="0.15">
      <c r="J59" s="9">
        <v>9.799999999999999E-2</v>
      </c>
      <c r="K59">
        <v>1.101379219883782</v>
      </c>
      <c r="L59">
        <f t="shared" si="4"/>
        <v>7.498105151982231</v>
      </c>
      <c r="M59">
        <f t="shared" si="5"/>
        <v>7.4912656617811884</v>
      </c>
    </row>
    <row r="60" spans="10:13" x14ac:dyDescent="0.15">
      <c r="J60" s="9">
        <v>9.9999999999999992E-2</v>
      </c>
      <c r="K60">
        <v>1.1163754301877464</v>
      </c>
      <c r="L60">
        <f t="shared" si="4"/>
        <v>7.511243614870537</v>
      </c>
      <c r="M60">
        <f t="shared" si="5"/>
        <v>7.5048069383387581</v>
      </c>
    </row>
    <row r="61" spans="10:13" x14ac:dyDescent="0.15">
      <c r="J61" s="9">
        <v>0.10199999999999999</v>
      </c>
      <c r="K61">
        <v>1.1313979174174875</v>
      </c>
      <c r="L61">
        <f t="shared" si="4"/>
        <v>7.5236159389202513</v>
      </c>
      <c r="M61">
        <f t="shared" si="5"/>
        <v>7.5175526926956131</v>
      </c>
    </row>
    <row r="62" spans="10:13" x14ac:dyDescent="0.15">
      <c r="J62" s="9">
        <v>0.104</v>
      </c>
      <c r="K62">
        <v>1.146445149295328</v>
      </c>
      <c r="L62">
        <f t="shared" si="4"/>
        <v>7.535277343245987</v>
      </c>
      <c r="M62">
        <f t="shared" si="5"/>
        <v>7.529560780016638</v>
      </c>
    </row>
    <row r="63" spans="10:13" x14ac:dyDescent="0.15">
      <c r="J63" s="9">
        <v>0.106</v>
      </c>
      <c r="K63">
        <v>1.16151570398182</v>
      </c>
      <c r="L63">
        <f t="shared" si="4"/>
        <v>7.5462781475721314</v>
      </c>
      <c r="M63">
        <f t="shared" si="5"/>
        <v>7.5408838795097646</v>
      </c>
    </row>
    <row r="64" spans="10:13" x14ac:dyDescent="0.15">
      <c r="J64" s="9">
        <v>0.108</v>
      </c>
      <c r="K64">
        <v>1.1766082602769643</v>
      </c>
      <c r="L64">
        <f t="shared" si="4"/>
        <v>7.5566642808704216</v>
      </c>
      <c r="M64">
        <f t="shared" si="5"/>
        <v>7.5515700360430538</v>
      </c>
    </row>
    <row r="65" spans="10:13" x14ac:dyDescent="0.15">
      <c r="J65" s="9">
        <v>0.11</v>
      </c>
      <c r="K65">
        <v>1.1917215888387052</v>
      </c>
      <c r="L65">
        <f t="shared" si="4"/>
        <v>7.5664777299051451</v>
      </c>
      <c r="M65">
        <f t="shared" si="5"/>
        <v>7.5616631373115428</v>
      </c>
    </row>
    <row r="66" spans="10:13" x14ac:dyDescent="0.15">
      <c r="J66" s="9">
        <v>0.112</v>
      </c>
      <c r="K66">
        <v>1.2068545442985155</v>
      </c>
      <c r="L66">
        <f t="shared" si="4"/>
        <v>7.5757569356191752</v>
      </c>
      <c r="M66">
        <f t="shared" si="5"/>
        <v>7.5712033350965156</v>
      </c>
    </row>
    <row r="67" spans="10:13" x14ac:dyDescent="0.15">
      <c r="J67" s="9">
        <v>0.114</v>
      </c>
      <c r="K67">
        <v>1.2220060581697538</v>
      </c>
      <c r="L67">
        <f t="shared" si="4"/>
        <v>7.5845371441483529</v>
      </c>
      <c r="M67">
        <f t="shared" si="5"/>
        <v>7.5802274179186391</v>
      </c>
    </row>
    <row r="68" spans="10:13" x14ac:dyDescent="0.15">
      <c r="J68" s="9">
        <v>0.11599999999999999</v>
      </c>
      <c r="K68">
        <v>1.2371751324580504</v>
      </c>
      <c r="L68">
        <f t="shared" si="4"/>
        <v>7.5928507182103573</v>
      </c>
      <c r="M68">
        <f t="shared" si="5"/>
        <v>7.5887691413403937</v>
      </c>
    </row>
    <row r="69" spans="10:13" x14ac:dyDescent="0.15">
      <c r="J69" s="9">
        <v>0.11799999999999999</v>
      </c>
      <c r="K69">
        <v>1.2523608338944712</v>
      </c>
      <c r="L69">
        <f t="shared" si="4"/>
        <v>7.600727413887391</v>
      </c>
      <c r="M69">
        <f t="shared" si="5"/>
        <v>7.5968595212894909</v>
      </c>
    </row>
    <row r="70" spans="10:13" x14ac:dyDescent="0.15">
      <c r="J70" s="9">
        <v>0.12</v>
      </c>
      <c r="K70">
        <v>1.267562288722246</v>
      </c>
      <c r="L70">
        <f t="shared" si="4"/>
        <v>7.6081946271129226</v>
      </c>
      <c r="M70">
        <f t="shared" si="5"/>
        <v>7.6045270950264987</v>
      </c>
    </row>
    <row r="71" spans="10:13" x14ac:dyDescent="0.15">
      <c r="J71" s="9">
        <v>0.122</v>
      </c>
      <c r="K71">
        <v>1.2827786779764718</v>
      </c>
      <c r="L71">
        <f t="shared" si="4"/>
        <v>7.6152776135316387</v>
      </c>
      <c r="M71">
        <f t="shared" si="5"/>
        <v>7.6117981537446147</v>
      </c>
    </row>
    <row r="72" spans="10:13" x14ac:dyDescent="0.15">
      <c r="J72" s="9">
        <v>0.124</v>
      </c>
      <c r="K72">
        <v>1.2980092332035351</v>
      </c>
      <c r="L72">
        <f t="shared" si="4"/>
        <v>7.6219996849964318</v>
      </c>
      <c r="M72">
        <f t="shared" si="5"/>
        <v>7.6186969502489177</v>
      </c>
    </row>
    <row r="73" spans="10:13" x14ac:dyDescent="0.15">
      <c r="J73" s="9">
        <v>0.126</v>
      </c>
      <c r="K73">
        <v>1.313253232573528</v>
      </c>
      <c r="L73">
        <f t="shared" si="4"/>
        <v>7.6283823854206219</v>
      </c>
      <c r="M73">
        <f t="shared" si="5"/>
        <v>7.6252458847014282</v>
      </c>
    </row>
    <row r="74" spans="10:13" x14ac:dyDescent="0.15">
      <c r="J74" s="9">
        <v>0.128</v>
      </c>
      <c r="K74">
        <v>1.3285099973443693</v>
      </c>
      <c r="L74">
        <f t="shared" si="4"/>
        <v>7.6344456484855812</v>
      </c>
      <c r="M74">
        <f t="shared" si="5"/>
        <v>7.6314656710243387</v>
      </c>
    </row>
    <row r="75" spans="10:13" x14ac:dyDescent="0.15">
      <c r="J75" s="9">
        <v>0.13</v>
      </c>
      <c r="K75">
        <v>1.3437788886413404</v>
      </c>
      <c r="L75">
        <f t="shared" si="4"/>
        <v>7.6402079392208151</v>
      </c>
      <c r="M75">
        <f t="shared" si="5"/>
        <v>7.6373754862162269</v>
      </c>
    </row>
    <row r="76" spans="10:13" x14ac:dyDescent="0.15">
      <c r="J76" s="9">
        <v>0.13200000000000001</v>
      </c>
      <c r="K76">
        <v>1.3590593045197821</v>
      </c>
      <c r="L76">
        <f t="shared" si="4"/>
        <v>7.645686381380294</v>
      </c>
      <c r="M76">
        <f t="shared" si="5"/>
        <v>7.6429931045464414</v>
      </c>
    </row>
    <row r="77" spans="10:13" x14ac:dyDescent="0.15">
      <c r="J77" s="9">
        <v>0.13400000000000001</v>
      </c>
      <c r="K77">
        <v>1.3743506772825427</v>
      </c>
      <c r="L77">
        <f t="shared" si="4"/>
        <v>7.6508968721498078</v>
      </c>
      <c r="M77">
        <f t="shared" si="5"/>
        <v>7.648335018343583</v>
      </c>
    </row>
    <row r="78" spans="10:13" x14ac:dyDescent="0.15">
      <c r="J78" s="9">
        <v>0.13600000000000001</v>
      </c>
      <c r="K78">
        <v>1.3896524710268423</v>
      </c>
      <c r="L78">
        <f t="shared" si="4"/>
        <v>7.655854185633963</v>
      </c>
      <c r="M78">
        <f t="shared" si="5"/>
        <v>7.6534165468793161</v>
      </c>
    </row>
    <row r="79" spans="10:13" x14ac:dyDescent="0.15">
      <c r="J79" s="9">
        <v>0.13800000000000001</v>
      </c>
      <c r="K79">
        <v>1.4049641793981102</v>
      </c>
      <c r="L79">
        <f t="shared" ref="L79:L110" si="6">(K80-K79)/(J80-J79)</f>
        <v>7.6605720663609418</v>
      </c>
      <c r="M79">
        <f t="shared" si="5"/>
        <v>7.6582519346631521</v>
      </c>
    </row>
    <row r="80" spans="10:13" x14ac:dyDescent="0.15">
      <c r="J80" s="9">
        <v>0.14000000000000001</v>
      </c>
      <c r="K80">
        <v>1.4202853235308321</v>
      </c>
      <c r="L80">
        <f t="shared" si="6"/>
        <v>7.6650633138237652</v>
      </c>
      <c r="M80">
        <f t="shared" ref="M80:M143" si="7">VEGA($B$3,$B$2,$B$4,J80,$B$1)</f>
        <v>7.662854440303418</v>
      </c>
    </row>
    <row r="81" spans="10:13" x14ac:dyDescent="0.15">
      <c r="J81" s="9">
        <v>0.14200000000000002</v>
      </c>
      <c r="K81">
        <v>1.4356154501584797</v>
      </c>
      <c r="L81">
        <f t="shared" si="6"/>
        <v>7.6693398591247615</v>
      </c>
      <c r="M81">
        <f t="shared" si="7"/>
        <v>7.6672364169504004</v>
      </c>
    </row>
    <row r="82" spans="10:13" x14ac:dyDescent="0.15">
      <c r="J82" s="9">
        <v>0.14400000000000002</v>
      </c>
      <c r="K82">
        <v>1.4509541298767292</v>
      </c>
      <c r="L82">
        <f t="shared" si="6"/>
        <v>7.6734128344435533</v>
      </c>
      <c r="M82">
        <f t="shared" si="7"/>
        <v>7.6714093852167933</v>
      </c>
    </row>
    <row r="83" spans="10:13" x14ac:dyDescent="0.15">
      <c r="J83" s="9">
        <v>0.14600000000000002</v>
      </c>
      <c r="K83">
        <v>1.4663009555456163</v>
      </c>
      <c r="L83">
        <f t="shared" si="6"/>
        <v>7.6772926361678913</v>
      </c>
      <c r="M83">
        <f t="shared" si="7"/>
        <v>7.6753840993654121</v>
      </c>
    </row>
    <row r="84" spans="10:13" x14ac:dyDescent="0.15">
      <c r="J84" s="9">
        <v>0.14800000000000002</v>
      </c>
      <c r="K84">
        <v>1.4816555408179521</v>
      </c>
      <c r="L84">
        <f t="shared" si="6"/>
        <v>7.6809889822859674</v>
      </c>
      <c r="M84">
        <f t="shared" si="7"/>
        <v>7.6791706074623987</v>
      </c>
    </row>
    <row r="85" spans="10:13" x14ac:dyDescent="0.15">
      <c r="J85" s="9">
        <v>0.15000000000000002</v>
      </c>
      <c r="K85">
        <v>1.4970175187825241</v>
      </c>
      <c r="L85">
        <f t="shared" si="6"/>
        <v>7.6845109646397276</v>
      </c>
      <c r="M85">
        <f t="shared" si="7"/>
        <v>7.6827783061140948</v>
      </c>
    </row>
    <row r="86" spans="10:13" x14ac:dyDescent="0.15">
      <c r="J86" s="9">
        <v>0.15200000000000002</v>
      </c>
      <c r="K86">
        <v>1.5123865407118036</v>
      </c>
      <c r="L86">
        <f t="shared" si="6"/>
        <v>7.6878670965720914</v>
      </c>
      <c r="M86">
        <f t="shared" si="7"/>
        <v>7.6862159903357243</v>
      </c>
    </row>
    <row r="87" spans="10:13" x14ac:dyDescent="0.15">
      <c r="J87" s="9">
        <v>0.15400000000000003</v>
      </c>
      <c r="K87">
        <v>1.5277622749049478</v>
      </c>
      <c r="L87">
        <f t="shared" si="6"/>
        <v>7.6910653564060567</v>
      </c>
      <c r="M87">
        <f t="shared" si="7"/>
        <v>7.6894918990386003</v>
      </c>
    </row>
    <row r="88" spans="10:13" x14ac:dyDescent="0.15">
      <c r="J88" s="9">
        <v>0.156</v>
      </c>
      <c r="K88">
        <v>1.5431444056177597</v>
      </c>
      <c r="L88">
        <f t="shared" si="6"/>
        <v>7.6941132271643937</v>
      </c>
      <c r="M88">
        <f t="shared" si="7"/>
        <v>7.6926137565688011</v>
      </c>
    </row>
    <row r="89" spans="10:13" x14ac:dyDescent="0.15">
      <c r="J89" s="9">
        <v>0.158</v>
      </c>
      <c r="K89">
        <v>1.5585326320720885</v>
      </c>
      <c r="L89">
        <f t="shared" si="6"/>
        <v>7.6970177329211893</v>
      </c>
      <c r="M89">
        <f t="shared" si="7"/>
        <v>7.6955888106827874</v>
      </c>
    </row>
    <row r="90" spans="10:13" x14ac:dyDescent="0.15">
      <c r="J90" s="9">
        <v>0.16</v>
      </c>
      <c r="K90">
        <v>1.5739266675379309</v>
      </c>
      <c r="L90">
        <f t="shared" si="6"/>
        <v>7.6997854720612864</v>
      </c>
      <c r="M90">
        <f t="shared" si="7"/>
        <v>7.6984238673038705</v>
      </c>
    </row>
    <row r="91" spans="10:13" x14ac:dyDescent="0.15">
      <c r="J91" s="9">
        <v>0.16200000000000001</v>
      </c>
      <c r="K91">
        <v>1.5893262384820535</v>
      </c>
      <c r="L91">
        <f t="shared" si="6"/>
        <v>7.7024226478004039</v>
      </c>
      <c r="M91">
        <f t="shared" si="7"/>
        <v>7.7011253223665985</v>
      </c>
    </row>
    <row r="92" spans="10:13" x14ac:dyDescent="0.15">
      <c r="J92" s="9">
        <v>0.16400000000000001</v>
      </c>
      <c r="K92">
        <v>1.6047310837776543</v>
      </c>
      <c r="L92">
        <f t="shared" si="6"/>
        <v>7.7049350961644265</v>
      </c>
      <c r="M92">
        <f t="shared" si="7"/>
        <v>7.7036991910237216</v>
      </c>
    </row>
    <row r="93" spans="10:13" x14ac:dyDescent="0.15">
      <c r="J93" s="9">
        <v>0.16600000000000001</v>
      </c>
      <c r="K93">
        <v>1.6201409539699831</v>
      </c>
      <c r="L93">
        <f t="shared" si="6"/>
        <v>7.707328311711052</v>
      </c>
      <c r="M93">
        <f t="shared" si="7"/>
        <v>7.7061511344616491</v>
      </c>
    </row>
    <row r="94" spans="10:13" x14ac:dyDescent="0.15">
      <c r="J94" s="9">
        <v>0.16800000000000001</v>
      </c>
      <c r="K94">
        <v>1.6355556105934053</v>
      </c>
      <c r="L94">
        <f t="shared" si="6"/>
        <v>7.7096074711713243</v>
      </c>
      <c r="M94">
        <f t="shared" si="7"/>
        <v>7.7084864845449452</v>
      </c>
    </row>
    <row r="95" spans="10:13" x14ac:dyDescent="0.15">
      <c r="J95" s="9">
        <v>0.17</v>
      </c>
      <c r="K95">
        <v>1.6509748255357479</v>
      </c>
      <c r="L95">
        <f t="shared" si="6"/>
        <v>7.71177745519757</v>
      </c>
      <c r="M95">
        <f t="shared" si="7"/>
        <v>7.7107102664878173</v>
      </c>
    </row>
    <row r="96" spans="10:13" x14ac:dyDescent="0.15">
      <c r="J96" s="9">
        <v>0.17200000000000001</v>
      </c>
      <c r="K96">
        <v>1.6663983804461431</v>
      </c>
      <c r="L96">
        <f t="shared" si="6"/>
        <v>7.7138428684282374</v>
      </c>
      <c r="M96">
        <f t="shared" si="7"/>
        <v>7.7128272197305687</v>
      </c>
    </row>
    <row r="97" spans="10:13" x14ac:dyDescent="0.15">
      <c r="J97" s="9">
        <v>0.17400000000000002</v>
      </c>
      <c r="K97">
        <v>1.6818260661829996</v>
      </c>
      <c r="L97">
        <f t="shared" si="6"/>
        <v>7.7158080579602313</v>
      </c>
      <c r="M97">
        <f t="shared" si="7"/>
        <v>7.7148418171811439</v>
      </c>
    </row>
    <row r="98" spans="10:13" x14ac:dyDescent="0.15">
      <c r="J98" s="9">
        <v>0.17600000000000002</v>
      </c>
      <c r="K98">
        <v>1.69725768229892</v>
      </c>
      <c r="L98">
        <f t="shared" si="6"/>
        <v>7.7176771304072673</v>
      </c>
      <c r="M98">
        <f t="shared" si="7"/>
        <v>7.7167582829661008</v>
      </c>
    </row>
    <row r="99" spans="10:13" x14ac:dyDescent="0.15">
      <c r="J99" s="9">
        <v>0.17800000000000002</v>
      </c>
      <c r="K99">
        <v>1.7126930365597346</v>
      </c>
      <c r="L99">
        <f t="shared" si="6"/>
        <v>7.719453967678362</v>
      </c>
      <c r="M99">
        <f t="shared" si="7"/>
        <v>7.7185806088211484</v>
      </c>
    </row>
    <row r="100" spans="10:13" x14ac:dyDescent="0.15">
      <c r="J100" s="9">
        <v>0.18000000000000002</v>
      </c>
      <c r="K100">
        <v>1.7281319444950913</v>
      </c>
      <c r="L100">
        <f t="shared" si="6"/>
        <v>7.7211422415217541</v>
      </c>
      <c r="M100">
        <f t="shared" si="7"/>
        <v>7.7203125692388275</v>
      </c>
    </row>
    <row r="101" spans="10:13" x14ac:dyDescent="0.15">
      <c r="J101" s="9">
        <v>0.18200000000000002</v>
      </c>
      <c r="K101">
        <v>1.7435742289781349</v>
      </c>
      <c r="L101">
        <f t="shared" si="6"/>
        <v>7.7227454270234404</v>
      </c>
      <c r="M101">
        <f t="shared" si="7"/>
        <v>7.7219577354795934</v>
      </c>
    </row>
    <row r="102" spans="10:13" x14ac:dyDescent="0.15">
      <c r="J102" s="9">
        <v>0.18400000000000002</v>
      </c>
      <c r="K102">
        <v>1.7590197198321817</v>
      </c>
      <c r="L102">
        <f t="shared" si="6"/>
        <v>7.7242668151092824</v>
      </c>
      <c r="M102">
        <f t="shared" si="7"/>
        <v>7.7235194885425127</v>
      </c>
    </row>
    <row r="103" spans="10:13" x14ac:dyDescent="0.15">
      <c r="J103" s="9">
        <v>0.186</v>
      </c>
      <c r="K103">
        <v>1.7744682534624001</v>
      </c>
      <c r="L103">
        <f t="shared" si="6"/>
        <v>7.7257095240765778</v>
      </c>
      <c r="M103">
        <f t="shared" si="7"/>
        <v>7.7250010311827015</v>
      </c>
    </row>
    <row r="104" spans="10:13" x14ac:dyDescent="0.15">
      <c r="J104" s="9">
        <v>0.188</v>
      </c>
      <c r="K104">
        <v>1.7899196725105533</v>
      </c>
      <c r="L104">
        <f t="shared" si="6"/>
        <v>7.7270765103749568</v>
      </c>
      <c r="M104">
        <f t="shared" si="7"/>
        <v>7.7264053990545634</v>
      </c>
    </row>
    <row r="105" spans="10:13" x14ac:dyDescent="0.15">
      <c r="J105" s="9">
        <v>0.19</v>
      </c>
      <c r="K105">
        <v>1.8053738255313032</v>
      </c>
      <c r="L105">
        <f t="shared" si="6"/>
        <v>7.7283705785520169</v>
      </c>
      <c r="M105">
        <f t="shared" si="7"/>
        <v>7.7277354710525845</v>
      </c>
    </row>
    <row r="106" spans="10:13" x14ac:dyDescent="0.15">
      <c r="J106" s="9">
        <v>0.192</v>
      </c>
      <c r="K106">
        <v>1.8208305666884073</v>
      </c>
      <c r="L106">
        <f t="shared" si="6"/>
        <v>7.7295943905113447</v>
      </c>
      <c r="M106">
        <f t="shared" si="7"/>
        <v>7.7289939789149091</v>
      </c>
    </row>
    <row r="107" spans="10:13" x14ac:dyDescent="0.15">
      <c r="J107" s="9">
        <v>0.19400000000000001</v>
      </c>
      <c r="K107">
        <v>1.83628975546943</v>
      </c>
      <c r="L107">
        <f t="shared" si="6"/>
        <v>7.7307504741268502</v>
      </c>
      <c r="M107">
        <f t="shared" si="7"/>
        <v>7.7301835161490047</v>
      </c>
    </row>
    <row r="108" spans="10:13" x14ac:dyDescent="0.15">
      <c r="J108" s="9">
        <v>0.19600000000000001</v>
      </c>
      <c r="K108">
        <v>1.8517512564176837</v>
      </c>
      <c r="L108">
        <f t="shared" si="6"/>
        <v>7.7318412312585778</v>
      </c>
      <c r="M108">
        <f t="shared" si="7"/>
        <v>7.7313065463334816</v>
      </c>
    </row>
    <row r="109" spans="10:13" x14ac:dyDescent="0.15">
      <c r="J109" s="9">
        <v>0.19800000000000001</v>
      </c>
      <c r="K109">
        <v>1.8672149388802008</v>
      </c>
      <c r="L109">
        <f t="shared" si="6"/>
        <v>7.7328689452009698</v>
      </c>
      <c r="M109">
        <f t="shared" si="7"/>
        <v>7.7323654108452509</v>
      </c>
    </row>
    <row r="110" spans="10:13" x14ac:dyDescent="0.15">
      <c r="J110" s="9">
        <v>0.2</v>
      </c>
      <c r="K110">
        <v>1.8826806767706028</v>
      </c>
      <c r="L110">
        <f t="shared" si="6"/>
        <v>7.7338357876399684</v>
      </c>
      <c r="M110">
        <f t="shared" si="7"/>
        <v>7.7333623360569845</v>
      </c>
    </row>
    <row r="111" spans="10:13" x14ac:dyDescent="0.15">
      <c r="J111" s="9">
        <v>0.20200000000000001</v>
      </c>
      <c r="K111">
        <v>1.8981483483458828</v>
      </c>
      <c r="L111">
        <f t="shared" ref="L111:L142" si="8">(K112-K111)/(J112-J111)</f>
        <v>7.734743825126948</v>
      </c>
      <c r="M111">
        <f t="shared" si="7"/>
        <v>7.7342994400458647</v>
      </c>
    </row>
    <row r="112" spans="10:13" x14ac:dyDescent="0.15">
      <c r="J112" s="9">
        <v>0.20400000000000001</v>
      </c>
      <c r="K112">
        <v>1.9136178359961367</v>
      </c>
      <c r="L112">
        <f t="shared" si="8"/>
        <v>7.7355950251352041</v>
      </c>
      <c r="M112">
        <f t="shared" si="7"/>
        <v>7.7351787388511202</v>
      </c>
    </row>
    <row r="113" spans="10:13" x14ac:dyDescent="0.15">
      <c r="J113" s="9">
        <v>0.20600000000000002</v>
      </c>
      <c r="K113">
        <v>1.9290890260464071</v>
      </c>
      <c r="L113">
        <f t="shared" si="8"/>
        <v>7.7363912616972215</v>
      </c>
      <c r="M113">
        <f t="shared" si="7"/>
        <v>7.7360021523146312</v>
      </c>
    </row>
    <row r="114" spans="10:13" x14ac:dyDescent="0.15">
      <c r="J114" s="9">
        <v>0.20800000000000002</v>
      </c>
      <c r="K114">
        <v>1.9445618085698015</v>
      </c>
      <c r="L114">
        <f t="shared" si="8"/>
        <v>7.7371343206786776</v>
      </c>
      <c r="M114">
        <f t="shared" si="7"/>
        <v>7.7367715095359868</v>
      </c>
    </row>
    <row r="115" spans="10:13" x14ac:dyDescent="0.15">
      <c r="J115" s="9">
        <v>0.21000000000000002</v>
      </c>
      <c r="K115">
        <v>1.9600360772111589</v>
      </c>
      <c r="L115">
        <f t="shared" si="8"/>
        <v>7.7378259047096094</v>
      </c>
      <c r="M115">
        <f t="shared" si="7"/>
        <v>7.7374885539707607</v>
      </c>
    </row>
    <row r="116" spans="10:13" x14ac:dyDescent="0.15">
      <c r="J116" s="9">
        <v>0.21200000000000002</v>
      </c>
      <c r="K116">
        <v>1.9755117290205781</v>
      </c>
      <c r="L116">
        <f t="shared" si="8"/>
        <v>7.7384676378082702</v>
      </c>
      <c r="M116">
        <f t="shared" si="7"/>
        <v>7.7381549481983818</v>
      </c>
    </row>
    <row r="117" spans="10:13" x14ac:dyDescent="0.15">
      <c r="J117" s="9">
        <v>0.21400000000000002</v>
      </c>
      <c r="K117">
        <v>1.9909886642961947</v>
      </c>
      <c r="L117">
        <f t="shared" si="8"/>
        <v>7.7390610696790247</v>
      </c>
      <c r="M117">
        <f t="shared" si="7"/>
        <v>7.7387722783837951</v>
      </c>
    </row>
    <row r="118" spans="10:13" x14ac:dyDescent="0.15">
      <c r="J118" s="9">
        <v>0.21600000000000003</v>
      </c>
      <c r="K118">
        <v>2.0064667864355528</v>
      </c>
      <c r="L118">
        <f t="shared" si="8"/>
        <v>7.7396076797802067</v>
      </c>
      <c r="M118">
        <f t="shared" si="7"/>
        <v>7.7393420584551507</v>
      </c>
    </row>
    <row r="119" spans="10:13" x14ac:dyDescent="0.15">
      <c r="J119" s="9">
        <v>0.21800000000000003</v>
      </c>
      <c r="K119">
        <v>2.0219460017951132</v>
      </c>
      <c r="L119">
        <f t="shared" si="8"/>
        <v>7.7401088810838852</v>
      </c>
      <c r="M119">
        <f t="shared" si="7"/>
        <v>7.7398657340179486</v>
      </c>
    </row>
    <row r="120" spans="10:13" x14ac:dyDescent="0.15">
      <c r="J120" s="9">
        <v>0.22</v>
      </c>
      <c r="K120">
        <v>2.0374262195572808</v>
      </c>
      <c r="L120">
        <f t="shared" si="8"/>
        <v>7.7405660236688973</v>
      </c>
      <c r="M120">
        <f t="shared" si="7"/>
        <v>7.7403446860244438</v>
      </c>
    </row>
    <row r="121" spans="10:13" x14ac:dyDescent="0.15">
      <c r="J121" s="9">
        <v>0.222</v>
      </c>
      <c r="K121">
        <v>2.0529073516046186</v>
      </c>
      <c r="L121">
        <f t="shared" si="8"/>
        <v>7.7409803980215059</v>
      </c>
      <c r="M121">
        <f t="shared" si="7"/>
        <v>7.7407802342156273</v>
      </c>
    </row>
    <row r="122" spans="10:13" x14ac:dyDescent="0.15">
      <c r="J122" s="9">
        <v>0.224</v>
      </c>
      <c r="K122">
        <v>2.0683893124006616</v>
      </c>
      <c r="L122">
        <f t="shared" si="8"/>
        <v>7.7413532381793644</v>
      </c>
      <c r="M122">
        <f t="shared" si="7"/>
        <v>7.741173640351688</v>
      </c>
    </row>
    <row r="123" spans="10:13" x14ac:dyDescent="0.15">
      <c r="J123" s="9">
        <v>0.22600000000000001</v>
      </c>
      <c r="K123">
        <v>2.0838720188770203</v>
      </c>
      <c r="L123">
        <f t="shared" si="8"/>
        <v>7.7416857246852473</v>
      </c>
      <c r="M123">
        <f t="shared" si="7"/>
        <v>7.7415261112457152</v>
      </c>
    </row>
    <row r="124" spans="10:13" x14ac:dyDescent="0.15">
      <c r="J124" s="9">
        <v>0.22800000000000001</v>
      </c>
      <c r="K124">
        <v>2.0993553903263908</v>
      </c>
      <c r="L124">
        <f t="shared" si="8"/>
        <v>7.7419789873216445</v>
      </c>
      <c r="M124">
        <f t="shared" si="7"/>
        <v>7.7418388016141391</v>
      </c>
    </row>
    <row r="125" spans="10:13" x14ac:dyDescent="0.15">
      <c r="J125" s="9">
        <v>0.23</v>
      </c>
      <c r="K125">
        <v>2.1148393483010341</v>
      </c>
      <c r="L125">
        <f t="shared" si="8"/>
        <v>7.742234107745098</v>
      </c>
      <c r="M125">
        <f t="shared" si="7"/>
        <v>7.7421128167564746</v>
      </c>
    </row>
    <row r="126" spans="10:13" x14ac:dyDescent="0.15">
      <c r="J126" s="9">
        <v>0.23200000000000001</v>
      </c>
      <c r="K126">
        <v>2.1303238165165244</v>
      </c>
      <c r="L126">
        <f t="shared" si="8"/>
        <v>7.7424521218958304</v>
      </c>
      <c r="M126">
        <f t="shared" si="7"/>
        <v>7.7423492150759188</v>
      </c>
    </row>
    <row r="127" spans="10:13" x14ac:dyDescent="0.15">
      <c r="J127" s="9">
        <v>0.23400000000000001</v>
      </c>
      <c r="K127">
        <v>2.145808720760316</v>
      </c>
      <c r="L127">
        <f t="shared" si="8"/>
        <v>7.742634022334542</v>
      </c>
      <c r="M127">
        <f t="shared" si="7"/>
        <v>7.7425490104515005</v>
      </c>
    </row>
    <row r="128" spans="10:13" x14ac:dyDescent="0.15">
      <c r="J128" s="9">
        <v>0.23600000000000002</v>
      </c>
      <c r="K128">
        <v>2.1612939888049851</v>
      </c>
      <c r="L128">
        <f t="shared" si="8"/>
        <v>7.7427807603820327</v>
      </c>
      <c r="M128">
        <f t="shared" si="7"/>
        <v>7.7427131744716657</v>
      </c>
    </row>
    <row r="129" spans="10:13" x14ac:dyDescent="0.15">
      <c r="J129" s="9">
        <v>0.23800000000000002</v>
      </c>
      <c r="K129">
        <v>2.1767795503257492</v>
      </c>
      <c r="L129">
        <f t="shared" si="8"/>
        <v>7.7428932481815522</v>
      </c>
      <c r="M129">
        <f t="shared" si="7"/>
        <v>7.7428426385384821</v>
      </c>
    </row>
    <row r="130" spans="10:13" x14ac:dyDescent="0.15">
      <c r="J130" s="9">
        <v>0.24000000000000002</v>
      </c>
      <c r="K130">
        <v>2.1922653368221123</v>
      </c>
      <c r="L130">
        <f t="shared" si="8"/>
        <v>7.742972360608384</v>
      </c>
      <c r="M130">
        <f t="shared" si="7"/>
        <v>7.7429382958509212</v>
      </c>
    </row>
    <row r="131" spans="10:13" x14ac:dyDescent="0.15">
      <c r="J131" s="9">
        <v>0.24200000000000002</v>
      </c>
      <c r="K131">
        <v>2.2077512815433291</v>
      </c>
      <c r="L131">
        <f t="shared" si="8"/>
        <v>7.7430189371092624</v>
      </c>
      <c r="M131">
        <f t="shared" si="7"/>
        <v>7.7430010032750918</v>
      </c>
    </row>
    <row r="132" spans="10:13" x14ac:dyDescent="0.15">
      <c r="J132" s="9">
        <v>0.24400000000000002</v>
      </c>
      <c r="K132">
        <v>2.2232373194175477</v>
      </c>
      <c r="L132">
        <f t="shared" si="8"/>
        <v>7.7430337833907998</v>
      </c>
      <c r="M132">
        <f t="shared" si="7"/>
        <v>7.7430315831087348</v>
      </c>
    </row>
    <row r="133" spans="10:13" x14ac:dyDescent="0.15">
      <c r="J133" s="9">
        <v>0.24600000000000002</v>
      </c>
      <c r="K133">
        <v>2.2387233869843293</v>
      </c>
      <c r="L133">
        <f t="shared" si="8"/>
        <v>7.7430176730572882</v>
      </c>
      <c r="M133">
        <f t="shared" si="7"/>
        <v>7.7430308247467234</v>
      </c>
    </row>
    <row r="134" spans="10:13" x14ac:dyDescent="0.15">
      <c r="J134" s="9">
        <v>0.24800000000000003</v>
      </c>
      <c r="K134">
        <v>2.2542094223304439</v>
      </c>
      <c r="L134">
        <f t="shared" si="8"/>
        <v>7.7429713491313672</v>
      </c>
      <c r="M134">
        <f t="shared" si="7"/>
        <v>7.7429994862538791</v>
      </c>
    </row>
    <row r="135" spans="10:13" x14ac:dyDescent="0.15">
      <c r="J135" s="9">
        <v>0.25</v>
      </c>
      <c r="K135">
        <v>2.2696953650287064</v>
      </c>
      <c r="L135">
        <f t="shared" si="8"/>
        <v>7.7428955254950012</v>
      </c>
      <c r="M135">
        <f t="shared" si="7"/>
        <v>7.7429382958509212</v>
      </c>
    </row>
    <row r="136" spans="10:13" x14ac:dyDescent="0.15">
      <c r="J136" s="9">
        <v>0.252</v>
      </c>
      <c r="K136">
        <v>2.2851811560796964</v>
      </c>
      <c r="L136">
        <f t="shared" si="8"/>
        <v>7.7427908882752234</v>
      </c>
      <c r="M136">
        <f t="shared" si="7"/>
        <v>7.7428479533190107</v>
      </c>
    </row>
    <row r="137" spans="10:13" x14ac:dyDescent="0.15">
      <c r="J137" s="9">
        <v>0.254</v>
      </c>
      <c r="K137">
        <v>2.3006667378562469</v>
      </c>
      <c r="L137">
        <f t="shared" si="8"/>
        <v>7.7426580971060517</v>
      </c>
      <c r="M137">
        <f t="shared" si="7"/>
        <v>7.7427291313279198</v>
      </c>
    </row>
    <row r="138" spans="10:13" x14ac:dyDescent="0.15">
      <c r="J138" s="9">
        <v>0.25600000000000001</v>
      </c>
      <c r="K138">
        <v>2.316152054050459</v>
      </c>
      <c r="L138">
        <f t="shared" si="8"/>
        <v>7.7424977863769158</v>
      </c>
      <c r="M138">
        <f t="shared" si="7"/>
        <v>7.7425824766925286</v>
      </c>
    </row>
    <row r="139" spans="10:13" x14ac:dyDescent="0.15">
      <c r="J139" s="9">
        <v>0.25800000000000001</v>
      </c>
      <c r="K139">
        <v>2.3316370496232128</v>
      </c>
      <c r="L139">
        <f t="shared" si="8"/>
        <v>7.7423105663694187</v>
      </c>
      <c r="M139">
        <f t="shared" si="7"/>
        <v>7.7424086115620483</v>
      </c>
    </row>
    <row r="140" spans="10:13" x14ac:dyDescent="0.15">
      <c r="J140" s="9">
        <v>0.26</v>
      </c>
      <c r="K140">
        <v>2.3471216707559517</v>
      </c>
      <c r="L140">
        <f t="shared" si="8"/>
        <v>7.7420970243764415</v>
      </c>
      <c r="M140">
        <f t="shared" si="7"/>
        <v>7.7422081345460345</v>
      </c>
    </row>
    <row r="141" spans="10:13" x14ac:dyDescent="0.15">
      <c r="J141" s="9">
        <v>0.26200000000000001</v>
      </c>
      <c r="K141">
        <v>2.3626058648047046</v>
      </c>
      <c r="L141">
        <f t="shared" si="8"/>
        <v>7.741857725721772</v>
      </c>
      <c r="M141">
        <f t="shared" si="7"/>
        <v>7.7419816217810027</v>
      </c>
    </row>
    <row r="142" spans="10:13" x14ac:dyDescent="0.15">
      <c r="J142" s="9">
        <v>0.26400000000000001</v>
      </c>
      <c r="K142">
        <v>2.3780895802561481</v>
      </c>
      <c r="L142">
        <f t="shared" si="8"/>
        <v>7.7415932147450945</v>
      </c>
      <c r="M142">
        <f t="shared" si="7"/>
        <v>7.7417296279411998</v>
      </c>
    </row>
    <row r="143" spans="10:13" x14ac:dyDescent="0.15">
      <c r="J143" s="9">
        <v>0.26600000000000001</v>
      </c>
      <c r="K143">
        <v>2.3935727666856383</v>
      </c>
      <c r="L143">
        <f t="shared" ref="L143:L160" si="9">(K144-K143)/(J144-J143)</f>
        <v>7.7413040157470121</v>
      </c>
      <c r="M143">
        <f t="shared" si="7"/>
        <v>7.741452687196837</v>
      </c>
    </row>
    <row r="144" spans="10:13" x14ac:dyDescent="0.15">
      <c r="J144" s="9">
        <v>0.26800000000000002</v>
      </c>
      <c r="K144">
        <v>2.4090553747171324</v>
      </c>
      <c r="L144">
        <f t="shared" si="9"/>
        <v>7.7409906338683427</v>
      </c>
      <c r="M144">
        <f t="shared" ref="M144:M160" si="10">VEGA($B$3,$B$2,$B$4,J144,$B$1)</f>
        <v>7.7411513141228836</v>
      </c>
    </row>
    <row r="145" spans="10:13" x14ac:dyDescent="0.15">
      <c r="J145" s="9">
        <v>0.27</v>
      </c>
      <c r="K145">
        <v>2.4245373559848691</v>
      </c>
      <c r="L145">
        <f t="shared" si="9"/>
        <v>7.740653555923231</v>
      </c>
      <c r="M145">
        <f t="shared" si="10"/>
        <v>7.7408260045613133</v>
      </c>
    </row>
    <row r="146" spans="10:13" x14ac:dyDescent="0.15">
      <c r="J146" s="9">
        <v>0.27200000000000002</v>
      </c>
      <c r="K146">
        <v>2.4400186630967156</v>
      </c>
      <c r="L146">
        <f t="shared" si="9"/>
        <v>7.7402932512136076</v>
      </c>
      <c r="M146">
        <f t="shared" si="10"/>
        <v>7.7404772364394958</v>
      </c>
    </row>
    <row r="147" spans="10:13" x14ac:dyDescent="0.15">
      <c r="J147" s="9">
        <v>0.27400000000000002</v>
      </c>
      <c r="K147">
        <v>2.4554992495991428</v>
      </c>
      <c r="L147">
        <f t="shared" si="9"/>
        <v>7.7399101722628245</v>
      </c>
      <c r="M147">
        <f t="shared" si="10"/>
        <v>7.7401054705472809</v>
      </c>
    </row>
    <row r="148" spans="10:13" x14ac:dyDescent="0.15">
      <c r="J148" s="9">
        <v>0.27600000000000002</v>
      </c>
      <c r="K148">
        <v>2.4709790699436684</v>
      </c>
      <c r="L148">
        <f t="shared" si="9"/>
        <v>7.739504755559949</v>
      </c>
      <c r="M148">
        <f t="shared" si="10"/>
        <v>7.7397111512751113</v>
      </c>
    </row>
    <row r="149" spans="10:13" x14ac:dyDescent="0.15">
      <c r="J149" s="9">
        <v>0.27800000000000002</v>
      </c>
      <c r="K149">
        <v>2.4864580794547884</v>
      </c>
      <c r="L149">
        <f t="shared" si="9"/>
        <v>7.7390774222223442</v>
      </c>
      <c r="M149">
        <f t="shared" si="10"/>
        <v>7.7392947073154064</v>
      </c>
    </row>
    <row r="150" spans="10:13" x14ac:dyDescent="0.15">
      <c r="J150" s="9">
        <v>0.28000000000000003</v>
      </c>
      <c r="K150">
        <v>2.5019362342992331</v>
      </c>
      <c r="L150">
        <f t="shared" si="9"/>
        <v>7.7386285786671323</v>
      </c>
      <c r="M150">
        <f t="shared" si="10"/>
        <v>7.7388565523292723</v>
      </c>
    </row>
    <row r="151" spans="10:13" x14ac:dyDescent="0.15">
      <c r="J151" s="9">
        <v>0.28200000000000003</v>
      </c>
      <c r="K151">
        <v>2.5174134914565673</v>
      </c>
      <c r="L151">
        <f t="shared" si="9"/>
        <v>7.7381586172098267</v>
      </c>
      <c r="M151">
        <f t="shared" si="10"/>
        <v>7.7383970855804831</v>
      </c>
    </row>
    <row r="152" spans="10:13" x14ac:dyDescent="0.15">
      <c r="J152" s="9">
        <v>0.28400000000000003</v>
      </c>
      <c r="K152">
        <v>2.532889808690987</v>
      </c>
      <c r="L152">
        <f t="shared" si="9"/>
        <v>7.7376679166594116</v>
      </c>
      <c r="M152">
        <f t="shared" si="10"/>
        <v>7.7379166925385645</v>
      </c>
    </row>
    <row r="153" spans="10:13" x14ac:dyDescent="0.15">
      <c r="J153" s="9">
        <v>0.28600000000000003</v>
      </c>
      <c r="K153">
        <v>2.5483651445243058</v>
      </c>
      <c r="L153">
        <f t="shared" si="9"/>
        <v>7.7371568428921051</v>
      </c>
      <c r="M153">
        <f t="shared" si="10"/>
        <v>7.7374157454526715</v>
      </c>
    </row>
    <row r="154" spans="10:13" x14ac:dyDescent="0.15">
      <c r="J154" s="9">
        <v>0.28800000000000003</v>
      </c>
      <c r="K154">
        <v>2.5638394582100901</v>
      </c>
      <c r="L154">
        <f t="shared" si="9"/>
        <v>7.7366257493505159</v>
      </c>
      <c r="M154">
        <f t="shared" si="10"/>
        <v>7.736894603897885</v>
      </c>
    </row>
    <row r="155" spans="10:13" x14ac:dyDescent="0.15">
      <c r="J155" s="9">
        <v>0.29000000000000004</v>
      </c>
      <c r="K155">
        <v>2.5793127097087911</v>
      </c>
      <c r="L155">
        <f t="shared" si="9"/>
        <v>7.7360749776014188</v>
      </c>
      <c r="M155">
        <f t="shared" si="10"/>
        <v>7.7363536152954051</v>
      </c>
    </row>
    <row r="156" spans="10:13" x14ac:dyDescent="0.15">
      <c r="J156" s="9">
        <v>0.29200000000000004</v>
      </c>
      <c r="K156">
        <v>2.594784859663994</v>
      </c>
      <c r="L156">
        <f t="shared" si="9"/>
        <v>7.7355048577647452</v>
      </c>
      <c r="M156">
        <f t="shared" si="10"/>
        <v>7.7357931154080726</v>
      </c>
    </row>
    <row r="157" spans="10:13" x14ac:dyDescent="0.15">
      <c r="J157" s="9">
        <v>0.29400000000000004</v>
      </c>
      <c r="K157">
        <v>2.6102558693795235</v>
      </c>
      <c r="L157">
        <f t="shared" si="9"/>
        <v>7.7349157090189564</v>
      </c>
      <c r="M157">
        <f t="shared" si="10"/>
        <v>7.7352134288125569</v>
      </c>
    </row>
    <row r="158" spans="10:13" x14ac:dyDescent="0.15">
      <c r="J158" s="9">
        <v>0.29600000000000004</v>
      </c>
      <c r="K158">
        <v>2.6257257007975614</v>
      </c>
      <c r="L158">
        <f t="shared" si="9"/>
        <v>7.7343078400131589</v>
      </c>
      <c r="M158">
        <f t="shared" si="10"/>
        <v>7.7346148693494134</v>
      </c>
    </row>
    <row r="159" spans="10:13" x14ac:dyDescent="0.15">
      <c r="J159" s="9">
        <v>0.29800000000000004</v>
      </c>
      <c r="K159">
        <v>2.6411943164775877</v>
      </c>
      <c r="L159">
        <f t="shared" si="9"/>
        <v>7.733681549298085</v>
      </c>
      <c r="M159">
        <f t="shared" si="10"/>
        <v>7.7339977405522378</v>
      </c>
    </row>
    <row r="160" spans="10:13" x14ac:dyDescent="0.15">
      <c r="J160" s="9">
        <v>0.3</v>
      </c>
      <c r="K160">
        <v>2.6566616795761835</v>
      </c>
      <c r="L160">
        <f t="shared" si="9"/>
        <v>8.8555389319206128</v>
      </c>
      <c r="M160">
        <f t="shared" si="10"/>
        <v>7.7333623360569845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49"/>
  <sheetViews>
    <sheetView workbookViewId="0">
      <pane xSplit="1" ySplit="2" topLeftCell="I26" activePane="bottomRight" state="frozen"/>
      <selection pane="topRight" activeCell="B1" sqref="B1"/>
      <selection pane="bottomLeft" activeCell="A3" sqref="A3"/>
      <selection pane="bottomRight" activeCell="S43" sqref="A1:XFD1048576"/>
    </sheetView>
  </sheetViews>
  <sheetFormatPr defaultRowHeight="13.5" x14ac:dyDescent="0.15"/>
  <cols>
    <col min="7" max="7" width="12.125" bestFit="1" customWidth="1"/>
  </cols>
  <sheetData>
    <row r="1" spans="1:25" x14ac:dyDescent="0.15">
      <c r="A1" t="s">
        <v>101</v>
      </c>
      <c r="B1">
        <v>10</v>
      </c>
      <c r="C1" t="s">
        <v>102</v>
      </c>
      <c r="D1" s="4">
        <v>0.25</v>
      </c>
      <c r="E1" t="s">
        <v>103</v>
      </c>
      <c r="F1">
        <v>6.25E-2</v>
      </c>
      <c r="G1" t="s">
        <v>106</v>
      </c>
      <c r="H1" s="4">
        <v>0.05</v>
      </c>
      <c r="I1" s="4" t="s">
        <v>108</v>
      </c>
      <c r="J1">
        <v>9</v>
      </c>
      <c r="K1" t="s">
        <v>107</v>
      </c>
      <c r="L1">
        <v>9</v>
      </c>
    </row>
    <row r="2" spans="1:25" x14ac:dyDescent="0.15">
      <c r="A2" t="s">
        <v>104</v>
      </c>
      <c r="B2">
        <f>EXP($D$1*SQRT($F$1/$L$1))</f>
        <v>1.0210518621451075</v>
      </c>
      <c r="C2" t="s">
        <v>105</v>
      </c>
      <c r="D2">
        <f>1/B2</f>
        <v>0.97938218133124011</v>
      </c>
      <c r="E2" t="s">
        <v>112</v>
      </c>
      <c r="F2">
        <f>(EXP($H$1*$F$1/$L$1)-$D$2)/($B$2-$D$2)</f>
        <v>0.50312603240816234</v>
      </c>
      <c r="G2" t="s">
        <v>113</v>
      </c>
      <c r="H2">
        <f>1-F2</f>
        <v>0.49687396759183766</v>
      </c>
    </row>
    <row r="4" spans="1:25" x14ac:dyDescent="0.15">
      <c r="A4" t="s">
        <v>109</v>
      </c>
      <c r="B4" t="s">
        <v>110</v>
      </c>
      <c r="C4">
        <f>callOption($H$1,$J$1,$F$1,$D$1,$B$1)</f>
        <v>1.0379950730899967</v>
      </c>
      <c r="D4" t="s">
        <v>111</v>
      </c>
      <c r="E4">
        <f>putOption($H$1,$J$1,$F$1,$D$1,$B$1)</f>
        <v>9.913972661870607E-3</v>
      </c>
    </row>
    <row r="5" spans="1:25" x14ac:dyDescent="0.15">
      <c r="B5" t="s">
        <v>114</v>
      </c>
      <c r="C5" s="6">
        <f>A31</f>
        <v>1.0418650227028492</v>
      </c>
    </row>
    <row r="10" spans="1:25" x14ac:dyDescent="0.15">
      <c r="T10">
        <v>10</v>
      </c>
    </row>
    <row r="12" spans="1:25" x14ac:dyDescent="0.15">
      <c r="J12">
        <v>12.062302494209813</v>
      </c>
      <c r="Y12">
        <f>X14*$B$2</f>
        <v>12.062302494209815</v>
      </c>
    </row>
    <row r="13" spans="1:25" x14ac:dyDescent="0.15">
      <c r="J13" s="16">
        <f>MAX(J12 - $J$1, 0)</f>
        <v>3.0623024942098134</v>
      </c>
      <c r="Y13">
        <f>MAX(Y12-$J$1,0)</f>
        <v>3.0623024942098152</v>
      </c>
    </row>
    <row r="14" spans="1:25" x14ac:dyDescent="0.15">
      <c r="I14">
        <v>11.813604128656465</v>
      </c>
      <c r="X14">
        <f>W16*$B$2</f>
        <v>11.813604128656467</v>
      </c>
    </row>
    <row r="15" spans="1:25" x14ac:dyDescent="0.15">
      <c r="I15" s="18">
        <f>(J13* $F$2 + J17* $H$2)*EXP($H$1*$F$1/$L$1)</f>
        <v>2.818685327047989</v>
      </c>
      <c r="X15">
        <f>(Y13*$F$2+Y17*$H$2)*EXP($H$1*$F$1/$L$1)</f>
        <v>2.8186853270479908</v>
      </c>
    </row>
    <row r="16" spans="1:25" x14ac:dyDescent="0.15">
      <c r="H16">
        <v>11.570033380907315</v>
      </c>
      <c r="J16">
        <v>11.570033380907313</v>
      </c>
      <c r="W16">
        <f>V18*$B$2</f>
        <v>11.570033380907315</v>
      </c>
      <c r="Y16">
        <f>X14*$D$2</f>
        <v>11.570033380907315</v>
      </c>
    </row>
    <row r="17" spans="1:25" x14ac:dyDescent="0.15">
      <c r="H17" s="18">
        <f>(I15* $F$2 + I19* $H$2)*EXP($H$1*$F$1/$L$1)</f>
        <v>2.5798618656095913</v>
      </c>
      <c r="J17" s="16">
        <f>MAX(J16 - $J$1, 0)</f>
        <v>2.5700333809073133</v>
      </c>
      <c r="W17">
        <f>(X15*$F$2+X19*$H$2)*EXP($H$1*$F$1/$L$1)</f>
        <v>2.5798618656095931</v>
      </c>
      <c r="Y17">
        <f>MAX(Y16-$J$1,0)</f>
        <v>2.570033380907315</v>
      </c>
    </row>
    <row r="18" spans="1:25" x14ac:dyDescent="0.15">
      <c r="G18">
        <v>11.331484530668268</v>
      </c>
      <c r="I18">
        <v>11.331484530668266</v>
      </c>
      <c r="V18">
        <f>U20*$B$2</f>
        <v>11.331484530668268</v>
      </c>
      <c r="X18">
        <f>W16*$D$2</f>
        <v>11.33148453066827</v>
      </c>
    </row>
    <row r="19" spans="1:25" x14ac:dyDescent="0.15">
      <c r="G19" s="18">
        <f>(H17* $F$2 + H21* $H$2)*EXP($H$1*$F$1/$L$1)</f>
        <v>2.3457365135799555</v>
      </c>
      <c r="I19" s="18">
        <f>(J17* $F$2 + J21* $H$2)*EXP($H$1*$F$1/$L$1)</f>
        <v>2.3362308075046632</v>
      </c>
      <c r="V19">
        <f>(W17*$F$2+W21*$H$2)*EXP($H$1*$F$1/$L$1)</f>
        <v>2.3457365135799582</v>
      </c>
      <c r="X19">
        <f>(Y17*$F$2+Y21*$H$2)*EXP($H$1*$F$1/$L$1)</f>
        <v>2.3362308075046658</v>
      </c>
    </row>
    <row r="20" spans="1:25" x14ac:dyDescent="0.15">
      <c r="F20">
        <v>11.097854037367092</v>
      </c>
      <c r="H20">
        <v>11.097854037367092</v>
      </c>
      <c r="J20">
        <v>11.097854037367091</v>
      </c>
      <c r="U20">
        <f>T22*$B$2</f>
        <v>11.097854037367092</v>
      </c>
      <c r="W20">
        <f>V18*$D$2</f>
        <v>11.097854037367092</v>
      </c>
      <c r="Y20">
        <f>X18*$D$2</f>
        <v>11.097854037367094</v>
      </c>
    </row>
    <row r="21" spans="1:25" x14ac:dyDescent="0.15">
      <c r="F21" s="18">
        <f>(G19* $F$2 + G23* $H$2)*EXP($H$1*$F$1/$L$1)</f>
        <v>2.1162155805840825</v>
      </c>
      <c r="H21" s="18">
        <f>(I19* $F$2 + I23* $H$2)*EXP($H$1*$F$1/$L$1)</f>
        <v>2.1070262617947555</v>
      </c>
      <c r="J21" s="16">
        <f>MAX(J20 - $J$1, 0)</f>
        <v>2.0978540373670906</v>
      </c>
      <c r="U21">
        <f>(V19*$F$2+V23*$H$2)*EXP($H$1*$F$1/$L$1)</f>
        <v>2.1162155805840857</v>
      </c>
      <c r="W21">
        <f>(X19*$F$2+X23*$H$2)*EXP($H$1*$F$1/$L$1)</f>
        <v>2.1070262617947586</v>
      </c>
      <c r="Y21">
        <f>MAX(Y20-$J$1,0)</f>
        <v>2.0978540373670942</v>
      </c>
    </row>
    <row r="22" spans="1:25" x14ac:dyDescent="0.15">
      <c r="E22">
        <v>10.869040495212293</v>
      </c>
      <c r="G22">
        <v>10.869040495212293</v>
      </c>
      <c r="I22">
        <v>10.869040495212291</v>
      </c>
      <c r="T22">
        <f>S24*$B$2</f>
        <v>10.869040495212293</v>
      </c>
      <c r="V22">
        <f>U20*$D$2</f>
        <v>10.869040495212293</v>
      </c>
      <c r="X22">
        <f>W20*$D$2</f>
        <v>10.869040495212293</v>
      </c>
    </row>
    <row r="23" spans="1:25" x14ac:dyDescent="0.15">
      <c r="E23" s="18">
        <f>(F21* $F$2 + F25* $H$2)*EXP($H$1*$F$1/$L$1)</f>
        <v>1.8912072441870493</v>
      </c>
      <c r="G23" s="18">
        <f>(H21* $F$2 + H25* $H$2)*EXP($H$1*$F$1/$L$1)</f>
        <v>1.8823280487850418</v>
      </c>
      <c r="I23" s="18">
        <f>(J21* $F$2 + J25* $H$2)*EXP($H$1*$F$1/$L$1)</f>
        <v>1.8734655188240499</v>
      </c>
      <c r="T23">
        <f>(U21*$F$2+U25*$H$2)*EXP($H$1*$F$1/$L$1)</f>
        <v>1.8912072441870527</v>
      </c>
      <c r="V23">
        <f>(W21*$F$2+W25*$H$2)*EXP($H$1*$F$1/$L$1)</f>
        <v>1.8823280487850451</v>
      </c>
      <c r="X23">
        <f>(Y21*$F$2+Y25*$H$2)*EXP($H$1*$F$1/$L$1)</f>
        <v>1.8734655188240534</v>
      </c>
    </row>
    <row r="24" spans="1:25" x14ac:dyDescent="0.15">
      <c r="D24">
        <v>10.644944589178596</v>
      </c>
      <c r="F24">
        <v>10.644944589178598</v>
      </c>
      <c r="H24">
        <v>10.644944589178596</v>
      </c>
      <c r="J24">
        <v>10.644944589178595</v>
      </c>
      <c r="S24">
        <f>R26*$B$2</f>
        <v>10.644944589178596</v>
      </c>
      <c r="U24">
        <f>T22*$D$2</f>
        <v>10.644944589178598</v>
      </c>
      <c r="W24">
        <f>V22*$D$2</f>
        <v>10.644944589178598</v>
      </c>
      <c r="Y24">
        <f>X22*$D$2</f>
        <v>10.644944589178598</v>
      </c>
    </row>
    <row r="25" spans="1:25" x14ac:dyDescent="0.15">
      <c r="D25" s="18">
        <f>(E23* $F$2 + E27* $H$2)*EXP($H$1*$F$1/$L$1)</f>
        <v>1.6706215126520312</v>
      </c>
      <c r="F25" s="18">
        <f>(G23* $F$2 + G27* $H$2)*EXP($H$1*$F$1/$L$1)</f>
        <v>1.6620463016402016</v>
      </c>
      <c r="H25" s="18">
        <f>(I23* $F$2 + I27* $H$2)*EXP($H$1*$F$1/$L$1)</f>
        <v>1.6534873356697311</v>
      </c>
      <c r="J25" s="16">
        <f>MAX(J24 - $J$1, 0)</f>
        <v>1.6449445891785945</v>
      </c>
      <c r="S25">
        <f>(T23*$F$2+T27*$H$2)*EXP($H$1*$F$1/$L$1)</f>
        <v>1.6706215126520343</v>
      </c>
      <c r="U25">
        <f>(V23*$F$2+V27*$H$2)*EXP($H$1*$F$1/$L$1)</f>
        <v>1.6620463016402049</v>
      </c>
      <c r="W25">
        <f>(X23*$F$2+X27*$H$2)*EXP($H$1*$F$1/$L$1)</f>
        <v>1.6534873356697346</v>
      </c>
      <c r="Y25">
        <f>MAX(Y24-$J$1,0)</f>
        <v>1.6449445891785981</v>
      </c>
    </row>
    <row r="26" spans="1:25" x14ac:dyDescent="0.15">
      <c r="C26">
        <v>10.425469051899917</v>
      </c>
      <c r="E26">
        <v>10.425469051899915</v>
      </c>
      <c r="G26">
        <v>10.425469051899915</v>
      </c>
      <c r="I26">
        <v>10.425469051899913</v>
      </c>
      <c r="R26">
        <f>Q28*$B$2</f>
        <v>10.425469051899915</v>
      </c>
      <c r="T26">
        <f>S24*$D$2</f>
        <v>10.425469051899915</v>
      </c>
      <c r="V26">
        <f>U24*$D$2</f>
        <v>10.425469051899917</v>
      </c>
      <c r="X26">
        <f>W24*$D$2</f>
        <v>10.425469051899917</v>
      </c>
    </row>
    <row r="27" spans="1:25" x14ac:dyDescent="0.15">
      <c r="C27" s="18">
        <f>(D25* $F$2 + D29* $H$2)*EXP($H$1*$F$1/$L$1)</f>
        <v>1.4543701884408369</v>
      </c>
      <c r="E27" s="18">
        <f>(F25* $F$2 + F29* $H$2)*EXP($H$1*$F$1/$L$1)</f>
        <v>1.4460929452333358</v>
      </c>
      <c r="G27" s="18">
        <f>(H25* $F$2 + H29* $H$2)*EXP($H$1*$F$1/$L$1)</f>
        <v>1.4378315350186293</v>
      </c>
      <c r="I27" s="18">
        <f>(J25* $F$2 + J29* $H$2)*EXP($H$1*$F$1/$L$1)</f>
        <v>1.429585932805538</v>
      </c>
      <c r="R27">
        <f>(S25*$F$2+S29*$H$2)*EXP($H$1*$F$1/$L$1)</f>
        <v>1.45437018844084</v>
      </c>
      <c r="T27">
        <f>(U25*$F$2+U29*$H$2)*EXP($H$1*$F$1/$L$1)</f>
        <v>1.4460929452333389</v>
      </c>
      <c r="V27">
        <f>(W25*$F$2+W29*$H$2)*EXP($H$1*$F$1/$L$1)</f>
        <v>1.4378315350186328</v>
      </c>
      <c r="X27">
        <f>(Y25*$F$2+Y29*$H$2)*EXP($H$1*$F$1/$L$1)</f>
        <v>1.4295859328055416</v>
      </c>
    </row>
    <row r="28" spans="1:25" x14ac:dyDescent="0.15">
      <c r="B28">
        <v>10.210518621451074</v>
      </c>
      <c r="D28">
        <v>10.210518621451074</v>
      </c>
      <c r="F28">
        <v>10.210518621451074</v>
      </c>
      <c r="H28">
        <v>10.210518621451076</v>
      </c>
      <c r="J28">
        <v>10.210518621451072</v>
      </c>
      <c r="Q28">
        <f>P30*$B$2</f>
        <v>10.210518621451074</v>
      </c>
      <c r="S28">
        <f>R26*$D$2</f>
        <v>10.210518621451074</v>
      </c>
      <c r="U28">
        <f>T26*$D$2</f>
        <v>10.210518621451074</v>
      </c>
      <c r="W28">
        <f>V26*$D$2</f>
        <v>10.210518621451076</v>
      </c>
      <c r="Y28">
        <f>X26*$D$2</f>
        <v>10.210518621451076</v>
      </c>
    </row>
    <row r="29" spans="1:25" x14ac:dyDescent="0.15">
      <c r="B29" s="18">
        <f>(C27* $F$2 + C31* $H$2)*EXP($H$1*$F$1/$L$1)</f>
        <v>1.2436967458146198</v>
      </c>
      <c r="D29" s="18">
        <f>(E27* $F$2 + E31* $H$2)*EXP($H$1*$F$1/$L$1)</f>
        <v>1.2343816604238549</v>
      </c>
      <c r="F29" s="18">
        <f>(G27* $F$2 + G31* $H$2)*EXP($H$1*$F$1/$L$1)</f>
        <v>1.226411917534372</v>
      </c>
      <c r="H29" s="18">
        <f>(I27* $F$2 + I31* $H$2)*EXP($H$1*$F$1/$L$1)</f>
        <v>1.218457579342008</v>
      </c>
      <c r="J29" s="16">
        <f>MAX(J28 - $J$1, 0)</f>
        <v>1.2105186214510724</v>
      </c>
      <c r="Q29">
        <f>(R27*$F$2+R31*$H$2)*EXP($H$1*$F$1/$L$1)</f>
        <v>1.2436967458146231</v>
      </c>
      <c r="S29">
        <f>(T27*$F$2+T31*$H$2)*EXP($H$1*$F$1/$L$1)</f>
        <v>1.234381660423858</v>
      </c>
      <c r="U29">
        <f>(V27*$F$2+V31*$H$2)*EXP($H$1*$F$1/$L$1)</f>
        <v>1.2264119175343753</v>
      </c>
      <c r="W29">
        <f>(X27*$F$2+X31*$H$2)*EXP($H$1*$F$1/$L$1)</f>
        <v>1.2184575793420116</v>
      </c>
      <c r="Y29">
        <f>MAX(Y28-$J$1,0)</f>
        <v>1.2105186214510759</v>
      </c>
    </row>
    <row r="30" spans="1:25" x14ac:dyDescent="0.15">
      <c r="A30">
        <v>10</v>
      </c>
      <c r="C30">
        <v>10.000000000000002</v>
      </c>
      <c r="E30">
        <v>10</v>
      </c>
      <c r="G30">
        <v>10</v>
      </c>
      <c r="I30">
        <v>9.9999999999999982</v>
      </c>
      <c r="P30">
        <v>10</v>
      </c>
      <c r="R30">
        <f>Q28*$D$2</f>
        <v>10</v>
      </c>
      <c r="T30">
        <f>S28*$D$2</f>
        <v>10</v>
      </c>
      <c r="V30">
        <f>U28*$D$2</f>
        <v>10</v>
      </c>
      <c r="X30">
        <f>W28*$D$2</f>
        <v>10.000000000000002</v>
      </c>
    </row>
    <row r="31" spans="1:25" x14ac:dyDescent="0.15">
      <c r="A31" s="18">
        <f>(B29* $F$2 + B33* $H$2)*EXP($H$1*$F$1/$L$1)</f>
        <v>1.0418650227028492</v>
      </c>
      <c r="C31" s="18">
        <f>(D29* $F$2 + D33* $H$2)*EXP($H$1*$F$1/$L$1)</f>
        <v>1.0295034806239238</v>
      </c>
      <c r="E31" s="18">
        <f>(F29* $F$2 + F33* $H$2)*EXP($H$1*$F$1/$L$1)</f>
        <v>1.0191440024684086</v>
      </c>
      <c r="G31" s="18">
        <f>(H29* $F$2 + H33* $H$2)*EXP($H$1*$F$1/$L$1)</f>
        <v>1.0114751652921206</v>
      </c>
      <c r="I31" s="18">
        <f>(J29* $F$2 + J33* $H$2)*EXP($H$1*$F$1/$L$1)</f>
        <v>1.0038213136706144</v>
      </c>
      <c r="P31" s="3">
        <f>(Q29*$F$2+Q33*$H$2)*EXP($H$1*$F$1/$L$1)</f>
        <v>1.0418650227028523</v>
      </c>
      <c r="R31">
        <f>(S29*$F$2+S33*$H$2)*EXP($H$1*$F$1/$L$1)</f>
        <v>1.0295034806239269</v>
      </c>
      <c r="T31">
        <f>(U29*$F$2+U33*$H$2)*EXP($H$1*$F$1/$L$1)</f>
        <v>1.019144002468412</v>
      </c>
      <c r="V31">
        <f>(W29*$F$2+W33*$H$2)*EXP($H$1*$F$1/$L$1)</f>
        <v>1.0114751652921239</v>
      </c>
      <c r="X31">
        <f>(Y29*$F$2+Y33*$H$2)*EXP($H$1*$F$1/$L$1)</f>
        <v>1.003821313670618</v>
      </c>
    </row>
    <row r="32" spans="1:25" x14ac:dyDescent="0.15">
      <c r="B32">
        <v>9.7938218133124</v>
      </c>
      <c r="D32">
        <v>9.7938218133124</v>
      </c>
      <c r="F32">
        <v>9.7938218133124018</v>
      </c>
      <c r="H32">
        <v>9.7938218133124018</v>
      </c>
      <c r="J32">
        <v>9.7938218133124</v>
      </c>
      <c r="Q32">
        <f>P30*$D$2</f>
        <v>9.7938218133124018</v>
      </c>
      <c r="S32">
        <f>R30*$D$2</f>
        <v>9.7938218133124018</v>
      </c>
      <c r="U32">
        <f>T30*$D$2</f>
        <v>9.7938218133124018</v>
      </c>
      <c r="W32">
        <f>V30*$D$2</f>
        <v>9.7938218133124018</v>
      </c>
      <c r="Y32">
        <f>X30*$D$2</f>
        <v>9.7938218133124035</v>
      </c>
    </row>
    <row r="33" spans="2:25" x14ac:dyDescent="0.15">
      <c r="B33" s="18">
        <f>(C31* $F$2 + C35* $H$2)*EXP($H$1*$F$1/$L$1)</f>
        <v>0.83676574884147237</v>
      </c>
      <c r="D33" s="18">
        <f>(E31* $F$2 + E35* $H$2)*EXP($H$1*$F$1/$L$1)</f>
        <v>0.8213280540375365</v>
      </c>
      <c r="F33" s="18">
        <f>(G31* $F$2 + G35* $H$2)*EXP($H$1*$F$1/$L$1)</f>
        <v>0.80855600914582815</v>
      </c>
      <c r="H33" s="18">
        <f>(I31* $F$2 + I35* $H$2)*EXP($H$1*$F$1/$L$1)</f>
        <v>0.80118162354369971</v>
      </c>
      <c r="J33" s="16">
        <f>MAX(J32 - $J$1, 0)</f>
        <v>0.79382181331239998</v>
      </c>
      <c r="Q33">
        <f>(R31*$F$2+R35*$H$2)*EXP($H$1*$F$1/$L$1)</f>
        <v>0.83676574884147525</v>
      </c>
      <c r="S33">
        <f>(T31*$F$2+T35*$H$2)*EXP($H$1*$F$1/$L$1)</f>
        <v>0.82132805403753961</v>
      </c>
      <c r="U33">
        <f>(V31*$F$2+V35*$H$2)*EXP($H$1*$F$1/$L$1)</f>
        <v>0.80855600914583126</v>
      </c>
      <c r="W33">
        <f>(X31*$F$2+X35*$H$2)*EXP($H$1*$F$1/$L$1)</f>
        <v>0.8011816235437027</v>
      </c>
      <c r="Y33">
        <f>MAX(Y32-$J$1,0)</f>
        <v>0.79382181331240353</v>
      </c>
    </row>
    <row r="34" spans="2:25" x14ac:dyDescent="0.15">
      <c r="C34">
        <v>9.5918945710913821</v>
      </c>
      <c r="E34">
        <v>9.5918945710913803</v>
      </c>
      <c r="G34">
        <v>9.5918945710913803</v>
      </c>
      <c r="I34">
        <v>9.5918945710913786</v>
      </c>
      <c r="R34">
        <f>Q32*$D$2</f>
        <v>9.5918945710913821</v>
      </c>
      <c r="T34">
        <f>S32*$D$2</f>
        <v>9.5918945710913821</v>
      </c>
      <c r="V34">
        <f>U32*$D$2</f>
        <v>9.5918945710913821</v>
      </c>
      <c r="X34">
        <f>W32*$D$2</f>
        <v>9.5918945710913821</v>
      </c>
    </row>
    <row r="35" spans="2:25" x14ac:dyDescent="0.15">
      <c r="C35" s="18">
        <f>(D33* $F$2 + D37* $H$2)*EXP($H$1*$F$1/$L$1)</f>
        <v>0.64101819542170491</v>
      </c>
      <c r="E35" s="18">
        <f>(F33* $F$2 + F37* $H$2)*EXP($H$1*$F$1/$L$1)</f>
        <v>0.6204491719909303</v>
      </c>
      <c r="G35" s="18">
        <f>(H33* $F$2 + H37* $H$2)*EXP($H$1*$F$1/$L$1)</f>
        <v>0.60251863047912801</v>
      </c>
      <c r="I35" s="18">
        <f>(J33* $F$2 + J37* $H$2)*EXP($H$1*$F$1/$L$1)</f>
        <v>0.59543237978630847</v>
      </c>
      <c r="R35">
        <f>(S33*$F$2+S37*$H$2)*EXP($H$1*$F$1/$L$1)</f>
        <v>0.64101819542170757</v>
      </c>
      <c r="T35">
        <f>(U33*$F$2+U37*$H$2)*EXP($H$1*$F$1/$L$1)</f>
        <v>0.62044917199093297</v>
      </c>
      <c r="V35">
        <f>(W33*$F$2+W37*$H$2)*EXP($H$1*$F$1/$L$1)</f>
        <v>0.60251863047913068</v>
      </c>
      <c r="X35">
        <f>(Y33*$F$2+Y37*$H$2)*EXP($H$1*$F$1/$L$1)</f>
        <v>0.59543237978631114</v>
      </c>
    </row>
    <row r="36" spans="2:25" x14ac:dyDescent="0.15">
      <c r="D36">
        <v>9.3941306281347554</v>
      </c>
      <c r="F36">
        <v>9.3941306281347554</v>
      </c>
      <c r="H36">
        <v>9.3941306281347554</v>
      </c>
      <c r="J36">
        <v>9.3941306281347554</v>
      </c>
      <c r="S36">
        <f>R34*$D$2</f>
        <v>9.3941306281347572</v>
      </c>
      <c r="U36">
        <f>T34*$D$2</f>
        <v>9.3941306281347572</v>
      </c>
      <c r="W36">
        <f>V34*$D$2</f>
        <v>9.3941306281347572</v>
      </c>
      <c r="Y36">
        <f>X34*$D$2</f>
        <v>9.3941306281347572</v>
      </c>
    </row>
    <row r="37" spans="2:25" x14ac:dyDescent="0.15">
      <c r="D37" s="18">
        <f>(E35* $F$2 + E39* $H$2)*EXP($H$1*$F$1/$L$1)</f>
        <v>0.45799165986911083</v>
      </c>
      <c r="F37" s="18">
        <f>(G35* $F$2 + G39* $H$2)*EXP($H$1*$F$1/$L$1)</f>
        <v>0.42954192150799625</v>
      </c>
      <c r="H37" s="18">
        <f>(I35* $F$2 + I39* $H$2)*EXP($H$1*$F$1/$L$1)</f>
        <v>0.40093492603682335</v>
      </c>
      <c r="J37" s="16">
        <f>MAX(J36 - $J$1, 0)</f>
        <v>0.39413062813475541</v>
      </c>
      <c r="S37">
        <f>(T35*$F$2+T39*$H$2)*EXP($H$1*$F$1/$L$1)</f>
        <v>0.45799165986911305</v>
      </c>
      <c r="U37">
        <f>(V35*$F$2+V39*$H$2)*EXP($H$1*$F$1/$L$1)</f>
        <v>0.42954192150799847</v>
      </c>
      <c r="W37">
        <f>(X35*$F$2+X39*$H$2)*EXP($H$1*$F$1/$L$1)</f>
        <v>0.40093492603682562</v>
      </c>
      <c r="Y37">
        <f>MAX(Y36-$J$1,0)</f>
        <v>0.39413062813475719</v>
      </c>
    </row>
    <row r="38" spans="2:25" x14ac:dyDescent="0.15">
      <c r="E38">
        <v>9.2004441462932309</v>
      </c>
      <c r="G38">
        <v>9.2004441462932292</v>
      </c>
      <c r="I38">
        <v>9.2004441462932292</v>
      </c>
      <c r="T38">
        <f>S36*$D$2</f>
        <v>9.2004441462932309</v>
      </c>
      <c r="V38">
        <f>U36*$D$2</f>
        <v>9.2004441462932309</v>
      </c>
      <c r="X38">
        <f>W36*$D$2</f>
        <v>9.2004441462932309</v>
      </c>
    </row>
    <row r="39" spans="2:25" x14ac:dyDescent="0.15">
      <c r="E39" s="18">
        <f>(F37* $F$2 + F41* $H$2)*EXP($H$1*$F$1/$L$1)</f>
        <v>0.29316998248827109</v>
      </c>
      <c r="G39" s="18">
        <f>(H37* $F$2 + H41* $H$2)*EXP($H$1*$F$1/$L$1)</f>
        <v>0.25408856395695023</v>
      </c>
      <c r="I39" s="18">
        <f>(J37* $F$2 + J41* $H$2)*EXP($H$1*$F$1/$L$1)</f>
        <v>0.20371002000444058</v>
      </c>
      <c r="T39">
        <f>(U37*$F$2+U41*$H$2)*EXP($H$1*$F$1/$L$1)</f>
        <v>0.29316998248827286</v>
      </c>
      <c r="V39">
        <f>(W37*$F$2+W41*$H$2)*EXP($H$1*$F$1/$L$1)</f>
        <v>0.25408856395695206</v>
      </c>
      <c r="X39">
        <f>(Y37*$F$2+Y41*$H$2)*EXP($H$1*$F$1/$L$1)</f>
        <v>0.20371002000444233</v>
      </c>
    </row>
    <row r="40" spans="2:25" x14ac:dyDescent="0.15">
      <c r="F40">
        <v>9.0107510572129019</v>
      </c>
      <c r="H40">
        <v>9.0107510572129037</v>
      </c>
      <c r="J40">
        <v>9.0107510572129019</v>
      </c>
      <c r="U40">
        <f>T38*$D$2</f>
        <v>9.0107510572129037</v>
      </c>
      <c r="W40">
        <f>V38*$D$2</f>
        <v>9.0107510572129037</v>
      </c>
      <c r="Y40">
        <f>X38*$D$2</f>
        <v>9.0107510572129037</v>
      </c>
    </row>
    <row r="41" spans="2:25" x14ac:dyDescent="0.15">
      <c r="F41" s="18">
        <f>(G39* $F$2 + G43* $H$2)*EXP($H$1*$F$1/$L$1)</f>
        <v>0.15487726732365681</v>
      </c>
      <c r="H41" s="18">
        <f>(I39* $F$2 + I43* $H$2)*EXP($H$1*$F$1/$L$1)</f>
        <v>0.10521693406246667</v>
      </c>
      <c r="J41" s="16">
        <f>MAX(J40 - $J$1, 0)</f>
        <v>1.0751057212901927E-2</v>
      </c>
      <c r="U41">
        <f>(V39*$F$2+V43*$H$2)*EXP($H$1*$F$1/$L$1)</f>
        <v>0.15487726732365817</v>
      </c>
      <c r="W41">
        <f>(X39*$F$2+X43*$H$2)*EXP($H$1*$F$1/$L$1)</f>
        <v>0.105216934062468</v>
      </c>
      <c r="Y41">
        <f>MAX(Y40-$J$1,0)</f>
        <v>1.0751057212903703E-2</v>
      </c>
    </row>
    <row r="42" spans="2:25" x14ac:dyDescent="0.15">
      <c r="G42">
        <v>8.8249690258459506</v>
      </c>
      <c r="I42">
        <v>8.8249690258459488</v>
      </c>
      <c r="V42">
        <f>U40*$D$2</f>
        <v>8.8249690258459523</v>
      </c>
      <c r="X42">
        <f>W40*$D$2</f>
        <v>8.8249690258459523</v>
      </c>
    </row>
    <row r="43" spans="2:25" x14ac:dyDescent="0.15">
      <c r="G43" s="18">
        <f>(H41* $F$2 + H45* $H$2)*EXP($H$1*$F$1/$L$1)</f>
        <v>5.430940344236064E-2</v>
      </c>
      <c r="I43" s="18">
        <f>(J41* $F$2 + J45* $H$2)*EXP($H$1*$F$1/$L$1)</f>
        <v>5.4110152583158712E-3</v>
      </c>
      <c r="V43">
        <f>(W41*$F$2+W45*$H$2)*EXP($H$1*$F$1/$L$1)</f>
        <v>5.4309403442361529E-2</v>
      </c>
      <c r="X43">
        <f>(Y41*$F$2+Y45*$H$2)*EXP($H$1*$F$1/$L$1)</f>
        <v>5.4110152583167663E-3</v>
      </c>
    </row>
    <row r="44" spans="2:25" x14ac:dyDescent="0.15">
      <c r="H44">
        <v>8.6430174147136363</v>
      </c>
      <c r="J44">
        <v>8.6430174147136345</v>
      </c>
      <c r="W44">
        <f>V42*$D$2</f>
        <v>8.643017414713638</v>
      </c>
      <c r="Y44">
        <f>X42*$D$2</f>
        <v>8.643017414713638</v>
      </c>
    </row>
    <row r="45" spans="2:25" x14ac:dyDescent="0.15">
      <c r="H45" s="18">
        <f>(I43* $F$2 + I47* $H$2)*EXP($H$1*$F$1/$L$1)</f>
        <v>2.7233680879858477E-3</v>
      </c>
      <c r="J45" s="16">
        <f>MAX(J44 - $J$1, 0)</f>
        <v>0</v>
      </c>
      <c r="W45">
        <f>(X43*$F$2+X47*$H$2)*EXP($H$1*$F$1/$L$1)</f>
        <v>2.7233680879862983E-3</v>
      </c>
      <c r="Y45">
        <f>MAX(Y44-$J$1,0)</f>
        <v>0</v>
      </c>
    </row>
    <row r="46" spans="2:25" x14ac:dyDescent="0.15">
      <c r="I46">
        <v>8.4648172489061349</v>
      </c>
      <c r="X46">
        <f>W44*$D$2</f>
        <v>8.4648172489061384</v>
      </c>
    </row>
    <row r="47" spans="2:25" x14ac:dyDescent="0.15">
      <c r="I47" s="18">
        <f>(J45* $F$2 + J49* $H$2)*EXP($H$1*$F$1/$L$1)</f>
        <v>0</v>
      </c>
      <c r="X47">
        <f>(Y45*$F$2+Y49*$H$2)*EXP($H$1*$F$1/$L$1)</f>
        <v>0</v>
      </c>
    </row>
    <row r="48" spans="2:25" x14ac:dyDescent="0.15">
      <c r="J48">
        <v>8.2902911818039975</v>
      </c>
      <c r="Y48">
        <f>X46*$D$2</f>
        <v>8.290291181804001</v>
      </c>
    </row>
    <row r="49" spans="10:25" x14ac:dyDescent="0.15">
      <c r="J49" s="16">
        <f>MAX(J48 - $J$1, 0)</f>
        <v>0</v>
      </c>
      <c r="Y49">
        <f>MAX(Y48-$J$1,0)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te_BinaryTree">
                <anchor moveWithCells="1" sizeWithCells="1">
                  <from>
                    <xdr:col>12</xdr:col>
                    <xdr:colOff>495300</xdr:colOff>
                    <xdr:row>0</xdr:row>
                    <xdr:rowOff>66675</xdr:rowOff>
                  </from>
                  <to>
                    <xdr:col>13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Y213"/>
  <sheetViews>
    <sheetView tabSelected="1" workbookViewId="0">
      <pane ySplit="2" topLeftCell="A3" activePane="bottomLeft" state="frozen"/>
      <selection pane="bottomLeft" activeCell="O14" sqref="O14"/>
    </sheetView>
  </sheetViews>
  <sheetFormatPr defaultRowHeight="13.5" x14ac:dyDescent="0.15"/>
  <cols>
    <col min="7" max="7" width="12.125" bestFit="1" customWidth="1"/>
  </cols>
  <sheetData>
    <row r="1" spans="1:51" x14ac:dyDescent="0.15">
      <c r="A1" t="s">
        <v>101</v>
      </c>
      <c r="B1">
        <v>10</v>
      </c>
      <c r="C1" t="s">
        <v>102</v>
      </c>
      <c r="D1" s="4">
        <v>0.25</v>
      </c>
      <c r="E1" t="s">
        <v>103</v>
      </c>
      <c r="F1">
        <v>6.25E-2</v>
      </c>
      <c r="G1" t="s">
        <v>106</v>
      </c>
      <c r="H1" s="4">
        <v>0.05</v>
      </c>
      <c r="I1" s="4" t="s">
        <v>108</v>
      </c>
      <c r="J1">
        <v>9</v>
      </c>
      <c r="K1" t="s">
        <v>107</v>
      </c>
      <c r="L1">
        <v>50</v>
      </c>
    </row>
    <row r="2" spans="1:51" x14ac:dyDescent="0.15">
      <c r="A2" t="s">
        <v>104</v>
      </c>
      <c r="B2">
        <f>EXP($D$1*SQRT($F$1/$L$1))</f>
        <v>1.0088780126085894</v>
      </c>
      <c r="C2" t="s">
        <v>105</v>
      </c>
      <c r="D2">
        <f>1/B2</f>
        <v>0.99120011290003818</v>
      </c>
      <c r="E2" t="s">
        <v>112</v>
      </c>
      <c r="F2">
        <f>(EXP($H$1*$F$1/$L$1)-$D$2)/($B$2-$D$2)</f>
        <v>0.50132590405185717</v>
      </c>
      <c r="G2" t="s">
        <v>113</v>
      </c>
      <c r="H2">
        <f>1-F2</f>
        <v>0.49867409594814283</v>
      </c>
    </row>
    <row r="4" spans="1:51" x14ac:dyDescent="0.15">
      <c r="A4" t="s">
        <v>109</v>
      </c>
      <c r="B4" t="s">
        <v>110</v>
      </c>
      <c r="C4">
        <f>callOption($H$1,$J$1,$F$1,$D$1,$B$1)</f>
        <v>1.0379950730899967</v>
      </c>
      <c r="D4" t="s">
        <v>111</v>
      </c>
      <c r="E4">
        <f>putOption($H$1,$J$1,$F$1,$D$1,$B$1)</f>
        <v>9.913972661870607E-3</v>
      </c>
    </row>
    <row r="5" spans="1:51" x14ac:dyDescent="0.15">
      <c r="B5" t="s">
        <v>114</v>
      </c>
      <c r="C5" s="6">
        <v>1.0440954580624675</v>
      </c>
    </row>
    <row r="12" spans="1:51" x14ac:dyDescent="0.15">
      <c r="AY12">
        <v>15.557250985138074</v>
      </c>
    </row>
    <row r="13" spans="1:51" x14ac:dyDescent="0.15">
      <c r="AY13" s="16">
        <f>MAX(AY12 - $J$1, 0)</f>
        <v>6.557250985138074</v>
      </c>
    </row>
    <row r="14" spans="1:51" x14ac:dyDescent="0.15">
      <c r="AX14">
        <v>15.420348932883087</v>
      </c>
    </row>
    <row r="15" spans="1:51" x14ac:dyDescent="0.15">
      <c r="AX15" s="18">
        <f>(AY13* $F$2 + AY17* $H$2)*EXP($H$1*$F$1/$L$1)</f>
        <v>6.421714079397705</v>
      </c>
    </row>
    <row r="16" spans="1:51" x14ac:dyDescent="0.15">
      <c r="AW16">
        <v>15.284651603231701</v>
      </c>
      <c r="AY16">
        <v>15.284651603231701</v>
      </c>
    </row>
    <row r="17" spans="41:51" x14ac:dyDescent="0.15">
      <c r="AW17" s="18">
        <f>(AX15* $F$2 + AX19* $H$2)*EXP($H$1*$F$1/$L$1)</f>
        <v>6.2873481735022487</v>
      </c>
      <c r="AY17" s="16">
        <f>MAX(AY16 - $J$1, 0)</f>
        <v>6.2846516032317012</v>
      </c>
    </row>
    <row r="18" spans="41:51" x14ac:dyDescent="0.15">
      <c r="AV18">
        <v>15.150148394761009</v>
      </c>
      <c r="AX18">
        <v>15.150148394761009</v>
      </c>
    </row>
    <row r="19" spans="41:51" x14ac:dyDescent="0.15">
      <c r="AV19" s="18">
        <f>(AW17* $F$2 + AW21* $H$2)*EXP($H$1*$F$1/$L$1)</f>
        <v>6.1541431075740123</v>
      </c>
      <c r="AX19" s="18">
        <f>(AY17* $F$2 + AY21* $H$2)*EXP($H$1*$F$1/$L$1)</f>
        <v>6.1514797640973331</v>
      </c>
    </row>
    <row r="20" spans="41:51" x14ac:dyDescent="0.15">
      <c r="AU20">
        <v>15.016828799339446</v>
      </c>
      <c r="AW20">
        <v>15.016828799339448</v>
      </c>
      <c r="AY20">
        <v>15.016828799339448</v>
      </c>
    </row>
    <row r="21" spans="41:51" x14ac:dyDescent="0.15">
      <c r="AU21" s="18">
        <f>(AV19* $F$2 + AV23* $H$2)*EXP($H$1*$F$1/$L$1)</f>
        <v>6.0220888098821694</v>
      </c>
      <c r="AW21" s="18">
        <f>(AX19* $F$2 + AX23* $H$2)*EXP($H$1*$F$1/$L$1)</f>
        <v>6.0194584055388622</v>
      </c>
      <c r="AY21" s="16">
        <f>MAX(AY20 - $J$1, 0)</f>
        <v>6.0168287993394483</v>
      </c>
    </row>
    <row r="22" spans="41:51" x14ac:dyDescent="0.15">
      <c r="AT22">
        <v>14.884682401305804</v>
      </c>
      <c r="AV22">
        <v>14.884682401305803</v>
      </c>
      <c r="AX22">
        <v>14.884682401305804</v>
      </c>
    </row>
    <row r="23" spans="41:51" x14ac:dyDescent="0.15">
      <c r="AT23" s="18">
        <f>(AU21* $F$2 + AU25* $H$2)*EXP($H$1*$F$1/$L$1)</f>
        <v>5.8911752960780044</v>
      </c>
      <c r="AV23" s="18">
        <f>(AW21* $F$2 + AW25* $H$2)*EXP($H$1*$F$1/$L$1)</f>
        <v>5.8885775457033498</v>
      </c>
      <c r="AX23" s="18">
        <f>(AY21* $F$2 + AY25* $H$2)*EXP($H$1*$F$1/$L$1)</f>
        <v>5.8859805853189053</v>
      </c>
    </row>
    <row r="24" spans="41:51" x14ac:dyDescent="0.15">
      <c r="AS24">
        <v>14.753698876655523</v>
      </c>
      <c r="AU24">
        <v>14.753698876655525</v>
      </c>
      <c r="AW24">
        <v>14.753698876655527</v>
      </c>
      <c r="AY24">
        <v>14.753698876655527</v>
      </c>
    </row>
    <row r="25" spans="41:51" x14ac:dyDescent="0.15">
      <c r="AS25" s="18">
        <f>(AT23* $F$2 + AT27* $H$2)*EXP($H$1*$F$1/$L$1)</f>
        <v>5.761392668436784</v>
      </c>
      <c r="AU25" s="18">
        <f>(AV23* $F$2 + AV27* $H$2)*EXP($H$1*$F$1/$L$1)</f>
        <v>5.758827289340184</v>
      </c>
      <c r="AW25" s="18">
        <f>(AX23* $F$2 + AX27* $H$2)*EXP($H$1*$F$1/$L$1)</f>
        <v>5.7562626921507745</v>
      </c>
      <c r="AY25" s="16">
        <f>MAX(AY24 - $J$1, 0)</f>
        <v>5.7536988766555268</v>
      </c>
    </row>
    <row r="26" spans="41:51" x14ac:dyDescent="0.15">
      <c r="AR26">
        <v>14.623867992234121</v>
      </c>
      <c r="AT26">
        <v>14.623867992234123</v>
      </c>
      <c r="AV26">
        <v>14.623867992234121</v>
      </c>
      <c r="AX26">
        <v>14.623867992234123</v>
      </c>
    </row>
    <row r="27" spans="41:51" x14ac:dyDescent="0.15">
      <c r="AR27" s="18">
        <f>(AS25* $F$2 + AS29* $H$2)*EXP($H$1*$F$1/$L$1)</f>
        <v>5.6327311151062132</v>
      </c>
      <c r="AT27" s="18">
        <f>(AU25* $F$2 + AU29* $H$2)*EXP($H$1*$F$1/$L$1)</f>
        <v>5.6301978270497246</v>
      </c>
      <c r="AV27" s="18">
        <f>(AW25* $F$2 + AW29* $H$2)*EXP($H$1*$F$1/$L$1)</f>
        <v>5.6276653128874603</v>
      </c>
      <c r="AX27" s="18">
        <f>(AY25* $F$2 + AY29* $H$2)*EXP($H$1*$F$1/$L$1)</f>
        <v>5.6251335724083908</v>
      </c>
    </row>
    <row r="28" spans="41:51" x14ac:dyDescent="0.15">
      <c r="AQ28">
        <v>14.495179604937716</v>
      </c>
      <c r="AS28">
        <v>14.495179604937716</v>
      </c>
      <c r="AU28">
        <v>14.495179604937718</v>
      </c>
      <c r="AW28">
        <v>14.495179604937718</v>
      </c>
      <c r="AY28">
        <v>14.495179604937718</v>
      </c>
    </row>
    <row r="29" spans="41:51" x14ac:dyDescent="0.15">
      <c r="AQ29" s="18">
        <f>(AR27* $F$2 + AR31* $H$2)*EXP($H$1*$F$1/$L$1)</f>
        <v>5.505180909361405</v>
      </c>
      <c r="AS29" s="18">
        <f>(AT27* $F$2 + AT31* $H$2)*EXP($H$1*$F$1/$L$1)</f>
        <v>5.5026794345384618</v>
      </c>
      <c r="AU29" s="18">
        <f>(AV27* $F$2 + AV31* $H$2)*EXP($H$1*$F$1/$L$1)</f>
        <v>5.5001787256662213</v>
      </c>
      <c r="AW29" s="18">
        <f>(AX27* $F$2 + AX31* $H$2)*EXP($H$1*$F$1/$L$1)</f>
        <v>5.4976787825356368</v>
      </c>
      <c r="AY29" s="16">
        <f>MAX(AY28 - $J$1, 0)</f>
        <v>5.495179604937718</v>
      </c>
    </row>
    <row r="30" spans="41:51" x14ac:dyDescent="0.15">
      <c r="AP30">
        <v>14.367623660920595</v>
      </c>
      <c r="AR30">
        <v>14.367623660920595</v>
      </c>
      <c r="AT30">
        <v>14.367623660920597</v>
      </c>
      <c r="AV30">
        <v>14.367623660920595</v>
      </c>
      <c r="AX30">
        <v>14.367623660920595</v>
      </c>
    </row>
    <row r="31" spans="41:51" x14ac:dyDescent="0.15">
      <c r="AP31" s="18">
        <f>(AQ29* $F$2 + AQ33* $H$2)*EXP($H$1*$F$1/$L$1)</f>
        <v>5.3787324088663162</v>
      </c>
      <c r="AR31" s="18">
        <f>(AS29* $F$2 + AS33* $H$2)*EXP($H$1*$F$1/$L$1)</f>
        <v>5.3762624718806382</v>
      </c>
      <c r="AT31" s="18">
        <f>(AU29* $F$2 + AU33* $H$2)*EXP($H$1*$F$1/$L$1)</f>
        <v>5.3737932929709773</v>
      </c>
      <c r="AV31" s="18">
        <f>(AW29* $F$2 + AW33* $H$2)*EXP($H$1*$F$1/$L$1)</f>
        <v>5.3713248719302591</v>
      </c>
      <c r="AX31" s="18">
        <f>(AY29* $F$2 + AY33* $H$2)*EXP($H$1*$F$1/$L$1)</f>
        <v>5.3688572085514581</v>
      </c>
    </row>
    <row r="32" spans="41:51" x14ac:dyDescent="0.15">
      <c r="AO32">
        <v>14.241190194809754</v>
      </c>
      <c r="AQ32">
        <v>14.241190194809754</v>
      </c>
      <c r="AS32">
        <v>14.241190194809754</v>
      </c>
      <c r="AU32">
        <v>14.241190194809755</v>
      </c>
      <c r="AW32">
        <v>14.241190194809755</v>
      </c>
      <c r="AY32">
        <v>14.241190194809755</v>
      </c>
    </row>
    <row r="33" spans="33:51" x14ac:dyDescent="0.15">
      <c r="AO33" s="18">
        <f>(AP31* $F$2 + AP35* $H$2)*EXP($H$1*$F$1/$L$1)</f>
        <v>5.2533760549415955</v>
      </c>
      <c r="AQ33" s="18">
        <f>(AR31* $F$2 + AR35* $H$2)*EXP($H$1*$F$1/$L$1)</f>
        <v>5.250937382786268</v>
      </c>
      <c r="AS33" s="18">
        <f>(AT31* $F$2 + AT35* $H$2)*EXP($H$1*$F$1/$L$1)</f>
        <v>5.2484994609005211</v>
      </c>
      <c r="AU33" s="18">
        <f>(AV31* $F$2 + AV35* $H$2)*EXP($H$1*$F$1/$L$1)</f>
        <v>5.2460622890792266</v>
      </c>
      <c r="AW33" s="18">
        <f>(AX31* $F$2 + AX35* $H$2)*EXP($H$1*$F$1/$L$1)</f>
        <v>5.2436258671173119</v>
      </c>
      <c r="AY33" s="16">
        <f>MAX(AY32 - $J$1, 0)</f>
        <v>5.2411901948097555</v>
      </c>
    </row>
    <row r="34" spans="33:51" x14ac:dyDescent="0.15">
      <c r="AN34">
        <v>14.115869328926344</v>
      </c>
      <c r="AP34">
        <v>14.115869328926344</v>
      </c>
      <c r="AR34">
        <v>14.115869328926346</v>
      </c>
      <c r="AT34">
        <v>14.115869328926347</v>
      </c>
      <c r="AV34">
        <v>14.115869328926344</v>
      </c>
      <c r="AX34">
        <v>14.115869328926346</v>
      </c>
    </row>
    <row r="35" spans="33:51" x14ac:dyDescent="0.15">
      <c r="AN35" s="18">
        <f>(AO33* $F$2 + AO37* $H$2)*EXP($H$1*$F$1/$L$1)</f>
        <v>5.1291023718387745</v>
      </c>
      <c r="AP35" s="18">
        <f>(AQ33* $F$2 + AQ37* $H$2)*EXP($H$1*$F$1/$L$1)</f>
        <v>5.1266946938755256</v>
      </c>
      <c r="AR35" s="18">
        <f>(AS33* $F$2 + AS37* $H$2)*EXP($H$1*$F$1/$L$1)</f>
        <v>5.1242877584430726</v>
      </c>
      <c r="AT35" s="18">
        <f>(AU33* $F$2 + AU37* $H$2)*EXP($H$1*$F$1/$L$1)</f>
        <v>5.1218815653382173</v>
      </c>
      <c r="AV35" s="18">
        <f>(AW33* $F$2 + AW37* $H$2)*EXP($H$1*$F$1/$L$1)</f>
        <v>5.1194761143578216</v>
      </c>
      <c r="AX35" s="18">
        <f>(AY33* $F$2 + AY37* $H$2)*EXP($H$1*$F$1/$L$1)</f>
        <v>5.1170714052987964</v>
      </c>
    </row>
    <row r="36" spans="33:51" x14ac:dyDescent="0.15">
      <c r="AM36">
        <v>13.991651272513979</v>
      </c>
      <c r="AO36">
        <v>13.991651272513979</v>
      </c>
      <c r="AQ36">
        <v>13.99165127251398</v>
      </c>
      <c r="AS36">
        <v>13.99165127251398</v>
      </c>
      <c r="AU36">
        <v>13.99165127251398</v>
      </c>
      <c r="AW36">
        <v>13.991651272513982</v>
      </c>
      <c r="AY36">
        <v>13.991651272513982</v>
      </c>
    </row>
    <row r="37" spans="33:51" x14ac:dyDescent="0.15">
      <c r="AM37" s="18">
        <f>(AN35* $F$2 + AN39* $H$2)*EXP($H$1*$F$1/$L$1)</f>
        <v>5.0059019660207627</v>
      </c>
      <c r="AO37" s="18">
        <f>(AP35* $F$2 + AP39* $H$2)*EXP($H$1*$F$1/$L$1)</f>
        <v>5.003525013959413</v>
      </c>
      <c r="AQ37" s="18">
        <f>(AR35* $F$2 + AR39* $H$2)*EXP($H$1*$F$1/$L$1)</f>
        <v>5.0011487967571355</v>
      </c>
      <c r="AS37" s="18">
        <f>(AT35* $F$2 + AT39* $H$2)*EXP($H$1*$F$1/$L$1)</f>
        <v>4.9987733142126523</v>
      </c>
      <c r="AU37" s="18">
        <f>(AV35* $F$2 + AV39* $H$2)*EXP($H$1*$F$1/$L$1)</f>
        <v>4.9963985661247392</v>
      </c>
      <c r="AW37" s="18">
        <f>(AX35* $F$2 + AX39* $H$2)*EXP($H$1*$F$1/$L$1)</f>
        <v>4.9940245522922222</v>
      </c>
      <c r="AY37" s="16">
        <f>MAX(AY36 - $J$1, 0)</f>
        <v>4.9916512725139821</v>
      </c>
    </row>
    <row r="38" spans="33:51" x14ac:dyDescent="0.15">
      <c r="AL38">
        <v>13.868526320973817</v>
      </c>
      <c r="AN38">
        <v>13.868526320973819</v>
      </c>
      <c r="AP38">
        <v>13.868526320973819</v>
      </c>
      <c r="AR38">
        <v>13.868526320973819</v>
      </c>
      <c r="AT38">
        <v>13.868526320973821</v>
      </c>
      <c r="AV38">
        <v>13.868526320973819</v>
      </c>
      <c r="AX38">
        <v>13.868526320973821</v>
      </c>
    </row>
    <row r="39" spans="33:51" x14ac:dyDescent="0.15">
      <c r="AL39" s="18">
        <f>(AM37* $F$2 + AM41* $H$2)*EXP($H$1*$F$1/$L$1)</f>
        <v>4.8837655254485872</v>
      </c>
      <c r="AN39" s="18">
        <f>(AO37* $F$2 + AO41* $H$2)*EXP($H$1*$F$1/$L$1)</f>
        <v>4.881419033326674</v>
      </c>
      <c r="AP39" s="18">
        <f>(AQ37* $F$2 + AQ41* $H$2)*EXP($H$1*$F$1/$L$1)</f>
        <v>4.879073268458594</v>
      </c>
      <c r="AR39" s="18">
        <f>(AS37* $F$2 + AS41* $H$2)*EXP($H$1*$F$1/$L$1)</f>
        <v>4.8767282306449689</v>
      </c>
      <c r="AT39" s="18">
        <f>(AU37* $F$2 + AU41* $H$2)*EXP($H$1*$F$1/$L$1)</f>
        <v>4.8743839196864736</v>
      </c>
      <c r="AV39" s="18">
        <f>(AW37* $F$2 + AW41* $H$2)*EXP($H$1*$F$1/$L$1)</f>
        <v>4.8720403353838337</v>
      </c>
      <c r="AX39" s="18">
        <f>(AY37* $F$2 + AY41* $H$2)*EXP($H$1*$F$1/$L$1)</f>
        <v>4.8696974775378301</v>
      </c>
    </row>
    <row r="40" spans="33:51" x14ac:dyDescent="0.15">
      <c r="AK40">
        <v>13.746484855106401</v>
      </c>
      <c r="AM40">
        <v>13.746484855106401</v>
      </c>
      <c r="AO40">
        <v>13.746484855106402</v>
      </c>
      <c r="AQ40">
        <v>13.746484855106402</v>
      </c>
      <c r="AS40">
        <v>13.746484855106401</v>
      </c>
      <c r="AU40">
        <v>13.746484855106402</v>
      </c>
      <c r="AW40">
        <v>13.746484855106404</v>
      </c>
      <c r="AY40">
        <v>13.746484855106404</v>
      </c>
    </row>
    <row r="41" spans="33:51" x14ac:dyDescent="0.15">
      <c r="AK41" s="18">
        <f>(AL39* $F$2 + AL43* $H$2)*EXP($H$1*$F$1/$L$1)</f>
        <v>4.7626838188743106</v>
      </c>
      <c r="AM41" s="18">
        <f>(AN39* $F$2 + AN43* $H$2)*EXP($H$1*$F$1/$L$1)</f>
        <v>4.760367523036896</v>
      </c>
      <c r="AO41" s="18">
        <f>(AP39* $F$2 + AP43* $H$2)*EXP($H$1*$F$1/$L$1)</f>
        <v>4.7580519469139801</v>
      </c>
      <c r="AQ41" s="18">
        <f>(AR39* $F$2 + AR43* $H$2)*EXP($H$1*$F$1/$L$1)</f>
        <v>4.7557370903080702</v>
      </c>
      <c r="AS41" s="18">
        <f>(AT39* $F$2 + AT43* $H$2)*EXP($H$1*$F$1/$L$1)</f>
        <v>4.7534229530217234</v>
      </c>
      <c r="AU41" s="18">
        <f>(AV39* $F$2 + AV43* $H$2)*EXP($H$1*$F$1/$L$1)</f>
        <v>4.7511095348575463</v>
      </c>
      <c r="AW41" s="18">
        <f>(AX39* $F$2 + AX43* $H$2)*EXP($H$1*$F$1/$L$1)</f>
        <v>4.7487968356182035</v>
      </c>
      <c r="AY41" s="16">
        <f>MAX(AY40 - $J$1, 0)</f>
        <v>4.7464848551064041</v>
      </c>
    </row>
    <row r="42" spans="33:51" x14ac:dyDescent="0.15">
      <c r="AJ42">
        <v>13.62551734036013</v>
      </c>
      <c r="AL42">
        <v>13.625517340360128</v>
      </c>
      <c r="AN42">
        <v>13.62551734036013</v>
      </c>
      <c r="AP42">
        <v>13.62551734036013</v>
      </c>
      <c r="AR42">
        <v>13.62551734036013</v>
      </c>
      <c r="AT42">
        <v>13.625517340360132</v>
      </c>
      <c r="AV42">
        <v>13.62551734036013</v>
      </c>
      <c r="AX42">
        <v>13.625517340360132</v>
      </c>
    </row>
    <row r="43" spans="33:51" x14ac:dyDescent="0.15">
      <c r="AJ43" s="18">
        <f>(AK41* $F$2 + AK45* $H$2)*EXP($H$1*$F$1/$L$1)</f>
        <v>4.6426476951400959</v>
      </c>
      <c r="AL43" s="18">
        <f>(AM41* $F$2 + AM45* $H$2)*EXP($H$1*$F$1/$L$1)</f>
        <v>4.640361334219743</v>
      </c>
      <c r="AN43" s="18">
        <f>(AO41* $F$2 + AO45* $H$2)*EXP($H$1*$F$1/$L$1)</f>
        <v>4.6380756855398904</v>
      </c>
      <c r="AP43" s="18">
        <f>(AQ41* $F$2 + AQ45* $H$2)*EXP($H$1*$F$1/$L$1)</f>
        <v>4.6357907489049115</v>
      </c>
      <c r="AR43" s="18">
        <f>(AS41* $F$2 + AS45* $H$2)*EXP($H$1*$F$1/$L$1)</f>
        <v>4.6335065241192295</v>
      </c>
      <c r="AT43" s="18">
        <f>(AU41* $F$2 + AU45* $H$2)*EXP($H$1*$F$1/$L$1)</f>
        <v>4.6312230109873207</v>
      </c>
      <c r="AV43" s="18">
        <f>(AW41* $F$2 + AW45* $H$2)*EXP($H$1*$F$1/$L$1)</f>
        <v>4.6289402093137104</v>
      </c>
      <c r="AX43" s="18">
        <f>(AY41* $F$2 + AY45* $H$2)*EXP($H$1*$F$1/$L$1)</f>
        <v>4.6266581189029763</v>
      </c>
    </row>
    <row r="44" spans="33:51" x14ac:dyDescent="0.15">
      <c r="AI44">
        <v>13.505614326086388</v>
      </c>
      <c r="AK44">
        <v>13.505614326086388</v>
      </c>
      <c r="AM44">
        <v>13.505614326086389</v>
      </c>
      <c r="AO44">
        <v>13.505614326086389</v>
      </c>
      <c r="AQ44">
        <v>13.505614326086389</v>
      </c>
      <c r="AS44">
        <v>13.505614326086388</v>
      </c>
      <c r="AU44">
        <v>13.505614326086391</v>
      </c>
      <c r="AW44">
        <v>13.505614326086391</v>
      </c>
      <c r="AY44">
        <v>13.505614326086391</v>
      </c>
    </row>
    <row r="45" spans="33:51" x14ac:dyDescent="0.15">
      <c r="AI45" s="18">
        <f>(AJ43* $F$2 + AJ47* $H$2)*EXP($H$1*$F$1/$L$1)</f>
        <v>4.5236480824833407</v>
      </c>
      <c r="AK45" s="18">
        <f>(AL43* $F$2 + AL47* $H$2)*EXP($H$1*$F$1/$L$1)</f>
        <v>4.5213913973802704</v>
      </c>
      <c r="AM45" s="18">
        <f>(AN43* $F$2 + AN47* $H$2)*EXP($H$1*$F$1/$L$1)</f>
        <v>4.519135417108469</v>
      </c>
      <c r="AO45" s="18">
        <f>(AP43* $F$2 + AP47* $H$2)*EXP($H$1*$F$1/$L$1)</f>
        <v>4.5168801414741608</v>
      </c>
      <c r="AQ45" s="18">
        <f>(AR43* $F$2 + AR47* $H$2)*EXP($H$1*$F$1/$L$1)</f>
        <v>4.51462557028362</v>
      </c>
      <c r="AS45" s="18">
        <f>(AT43* $F$2 + AT47* $H$2)*EXP($H$1*$F$1/$L$1)</f>
        <v>4.5123717033431703</v>
      </c>
      <c r="AU45" s="18">
        <f>(AV43* $F$2 + AV47* $H$2)*EXP($H$1*$F$1/$L$1)</f>
        <v>4.5101185404591906</v>
      </c>
      <c r="AW45" s="18">
        <f>(AX43* $F$2 + AX47* $H$2)*EXP($H$1*$F$1/$L$1)</f>
        <v>4.5078660814381042</v>
      </c>
      <c r="AY45" s="16">
        <f>MAX(AY44 - $J$1, 0)</f>
        <v>4.5056143260863912</v>
      </c>
    </row>
    <row r="46" spans="33:51" x14ac:dyDescent="0.15">
      <c r="AH46">
        <v>13.3867664448012</v>
      </c>
      <c r="AJ46">
        <v>13.386766444801202</v>
      </c>
      <c r="AL46">
        <v>13.3867664448012</v>
      </c>
      <c r="AN46">
        <v>13.386766444801202</v>
      </c>
      <c r="AP46">
        <v>13.386766444801202</v>
      </c>
      <c r="AR46">
        <v>13.386766444801202</v>
      </c>
      <c r="AT46">
        <v>13.386766444801204</v>
      </c>
      <c r="AV46">
        <v>13.386766444801202</v>
      </c>
      <c r="AX46">
        <v>13.386766444801204</v>
      </c>
    </row>
    <row r="47" spans="33:51" x14ac:dyDescent="0.15">
      <c r="AH47" s="18">
        <f>(AI45* $F$2 + AI49* $H$2)*EXP($H$1*$F$1/$L$1)</f>
        <v>4.4056759878478475</v>
      </c>
      <c r="AJ47" s="18">
        <f>(AK45* $F$2 + AK49* $H$2)*EXP($H$1*$F$1/$L$1)</f>
        <v>4.4034487217102649</v>
      </c>
      <c r="AL47" s="18">
        <f>(AM45* $F$2 + AM49* $H$2)*EXP($H$1*$F$1/$L$1)</f>
        <v>4.4012221530589244</v>
      </c>
      <c r="AN47" s="18">
        <f>(AO45* $F$2 + AO49* $H$2)*EXP($H$1*$F$1/$L$1)</f>
        <v>4.3989962817018853</v>
      </c>
      <c r="AP47" s="18">
        <f>(AQ45* $F$2 + AQ49* $H$2)*EXP($H$1*$F$1/$L$1)</f>
        <v>4.3967711074472566</v>
      </c>
      <c r="AR47" s="18">
        <f>(AS45* $F$2 + AS49* $H$2)*EXP($H$1*$F$1/$L$1)</f>
        <v>4.3945466301031972</v>
      </c>
      <c r="AT47" s="18">
        <f>(AU45* $F$2 + AU49* $H$2)*EXP($H$1*$F$1/$L$1)</f>
        <v>4.3923228494779174</v>
      </c>
      <c r="AV47" s="18">
        <f>(AW45* $F$2 + AW49* $H$2)*EXP($H$1*$F$1/$L$1)</f>
        <v>4.3900997653796763</v>
      </c>
      <c r="AX47" s="18">
        <f>(AY45* $F$2 + AY49* $H$2)*EXP($H$1*$F$1/$L$1)</f>
        <v>4.3878773776167845</v>
      </c>
    </row>
    <row r="48" spans="33:51" x14ac:dyDescent="0.15">
      <c r="AG48">
        <v>13.268964411453393</v>
      </c>
      <c r="AI48">
        <v>13.268964411453393</v>
      </c>
      <c r="AK48">
        <v>13.268964411453394</v>
      </c>
      <c r="AM48">
        <v>13.268964411453394</v>
      </c>
      <c r="AO48">
        <v>13.268964411453394</v>
      </c>
      <c r="AQ48">
        <v>13.268964411453394</v>
      </c>
      <c r="AS48">
        <v>13.268964411453394</v>
      </c>
      <c r="AU48">
        <v>13.268964411453396</v>
      </c>
      <c r="AW48">
        <v>13.268964411453396</v>
      </c>
      <c r="AY48">
        <v>13.268964411453398</v>
      </c>
    </row>
    <row r="49" spans="25:51" x14ac:dyDescent="0.15">
      <c r="AG49" s="18">
        <f>(AH47* $F$2 + AH51* $H$2)*EXP($H$1*$F$1/$L$1)</f>
        <v>4.2887224962009718</v>
      </c>
      <c r="AI49" s="18">
        <f>(AJ47* $F$2 + AJ51* $H$2)*EXP($H$1*$F$1/$L$1)</f>
        <v>4.2865243944055598</v>
      </c>
      <c r="AK49" s="18">
        <f>(AL47* $F$2 + AL51* $H$2)*EXP($H$1*$F$1/$L$1)</f>
        <v>4.2843269828150117</v>
      </c>
      <c r="AM49" s="18">
        <f>(AN47* $F$2 + AN51* $H$2)*EXP($H$1*$F$1/$L$1)</f>
        <v>4.2821302612392058</v>
      </c>
      <c r="AO49" s="18">
        <f>(AP47* $F$2 + AP51* $H$2)*EXP($H$1*$F$1/$L$1)</f>
        <v>4.2799342294880702</v>
      </c>
      <c r="AQ49" s="18">
        <f>(AR47* $F$2 + AR51* $H$2)*EXP($H$1*$F$1/$L$1)</f>
        <v>4.2777388873715827</v>
      </c>
      <c r="AS49" s="18">
        <f>(AT47* $F$2 + AT51* $H$2)*EXP($H$1*$F$1/$L$1)</f>
        <v>4.2755442346997699</v>
      </c>
      <c r="AU49" s="18">
        <f>(AV47* $F$2 + AV51* $H$2)*EXP($H$1*$F$1/$L$1)</f>
        <v>4.2733502712827081</v>
      </c>
      <c r="AW49" s="18">
        <f>(AX47* $F$2 + AX51* $H$2)*EXP($H$1*$F$1/$L$1)</f>
        <v>4.2711569969305261</v>
      </c>
      <c r="AY49" s="16">
        <f>MAX(AY48 - $J$1, 0)</f>
        <v>4.268964411453398</v>
      </c>
    </row>
    <row r="50" spans="25:51" x14ac:dyDescent="0.15">
      <c r="AF50">
        <v>13.152199022699191</v>
      </c>
      <c r="AH50">
        <v>13.152199022699191</v>
      </c>
      <c r="AJ50">
        <v>13.152199022699193</v>
      </c>
      <c r="AL50">
        <v>13.152199022699191</v>
      </c>
      <c r="AN50">
        <v>13.152199022699191</v>
      </c>
      <c r="AP50">
        <v>13.152199022699193</v>
      </c>
      <c r="AR50">
        <v>13.152199022699193</v>
      </c>
      <c r="AT50">
        <v>13.152199022699195</v>
      </c>
      <c r="AV50">
        <v>13.152199022699193</v>
      </c>
      <c r="AX50">
        <v>13.152199022699195</v>
      </c>
    </row>
    <row r="51" spans="25:51" x14ac:dyDescent="0.15">
      <c r="AF51" s="18">
        <f>(AG49* $F$2 + AG53* $H$2)*EXP($H$1*$F$1/$L$1)</f>
        <v>4.1727787698566896</v>
      </c>
      <c r="AH51" s="18">
        <f>(AI49* $F$2 + AI53* $H$2)*EXP($H$1*$F$1/$L$1)</f>
        <v>4.1706095799892742</v>
      </c>
      <c r="AJ51" s="18">
        <f>(AK49* $F$2 + AK53* $H$2)*EXP($H$1*$F$1/$L$1)</f>
        <v>4.1684410731084434</v>
      </c>
      <c r="AL51" s="18">
        <f>(AM49* $F$2 + AM53* $H$2)*EXP($H$1*$F$1/$L$1)</f>
        <v>4.1662732490258767</v>
      </c>
      <c r="AN51" s="18">
        <f>(AO49* $F$2 + AO53* $H$2)*EXP($H$1*$F$1/$L$1)</f>
        <v>4.1641061075533043</v>
      </c>
      <c r="AP51" s="18">
        <f>(AQ49* $F$2 + AQ53* $H$2)*EXP($H$1*$F$1/$L$1)</f>
        <v>4.1619396485025062</v>
      </c>
      <c r="AR51" s="18">
        <f>(AS49* $F$2 + AS53* $H$2)*EXP($H$1*$F$1/$L$1)</f>
        <v>4.1597738716853119</v>
      </c>
      <c r="AT51" s="18">
        <f>(AU49* $F$2 + AU53* $H$2)*EXP($H$1*$F$1/$L$1)</f>
        <v>4.157608776913599</v>
      </c>
      <c r="AV51" s="18">
        <f>(AW49* $F$2 + AW53* $H$2)*EXP($H$1*$F$1/$L$1)</f>
        <v>4.1554443639992957</v>
      </c>
      <c r="AX51" s="18">
        <f>(AY49* $F$2 + AY53* $H$2)*EXP($H$1*$F$1/$L$1)</f>
        <v>4.1532806327543792</v>
      </c>
    </row>
    <row r="52" spans="25:51" x14ac:dyDescent="0.15">
      <c r="AE52">
        <v>13.03646115618321</v>
      </c>
      <c r="AG52">
        <v>13.036461156183211</v>
      </c>
      <c r="AI52">
        <v>13.036461156183211</v>
      </c>
      <c r="AK52">
        <v>13.036461156183211</v>
      </c>
      <c r="AM52">
        <v>13.036461156183211</v>
      </c>
      <c r="AO52">
        <v>13.036461156183211</v>
      </c>
      <c r="AQ52">
        <v>13.036461156183213</v>
      </c>
      <c r="AS52">
        <v>13.036461156183213</v>
      </c>
      <c r="AU52">
        <v>13.036461156183213</v>
      </c>
      <c r="AW52">
        <v>13.036461156183215</v>
      </c>
      <c r="AY52">
        <v>13.036461156183215</v>
      </c>
    </row>
    <row r="53" spans="25:51" x14ac:dyDescent="0.15">
      <c r="AE53" s="18">
        <f>(AF51* $F$2 + AF55* $H$2)*EXP($H$1*$F$1/$L$1)</f>
        <v>4.0578360478045354</v>
      </c>
      <c r="AG53" s="18">
        <f>(AH51* $F$2 + AH55* $H$2)*EXP($H$1*$F$1/$L$1)</f>
        <v>4.055695519640925</v>
      </c>
      <c r="AI53" s="18">
        <f>(AJ51* $F$2 + AJ55* $H$2)*EXP($H$1*$F$1/$L$1)</f>
        <v>4.0535556673081663</v>
      </c>
      <c r="AK53" s="18">
        <f>(AL51* $F$2 + AL55* $H$2)*EXP($H$1*$F$1/$L$1)</f>
        <v>4.0514164906197268</v>
      </c>
      <c r="AM53" s="18">
        <f>(AN51* $F$2 + AN55* $H$2)*EXP($H$1*$F$1/$L$1)</f>
        <v>4.0492779893891244</v>
      </c>
      <c r="AO53" s="18">
        <f>(AP51* $F$2 + AP55* $H$2)*EXP($H$1*$F$1/$L$1)</f>
        <v>4.0471401634299244</v>
      </c>
      <c r="AQ53" s="18">
        <f>(AR51* $F$2 + AR55* $H$2)*EXP($H$1*$F$1/$L$1)</f>
        <v>4.0450030125557426</v>
      </c>
      <c r="AS53" s="18">
        <f>(AT51* $F$2 + AT55* $H$2)*EXP($H$1*$F$1/$L$1)</f>
        <v>4.0428665365802434</v>
      </c>
      <c r="AU53" s="18">
        <f>(AV51* $F$2 + AV55* $H$2)*EXP($H$1*$F$1/$L$1)</f>
        <v>4.0407307353171404</v>
      </c>
      <c r="AW53" s="18">
        <f>(AX51* $F$2 + AX55* $H$2)*EXP($H$1*$F$1/$L$1)</f>
        <v>4.0385956085801942</v>
      </c>
      <c r="AY53" s="16">
        <f>MAX(AY52 - $J$1, 0)</f>
        <v>4.0364611561832149</v>
      </c>
    </row>
    <row r="54" spans="25:51" x14ac:dyDescent="0.15">
      <c r="AD54">
        <v>12.921741769825761</v>
      </c>
      <c r="AF54">
        <v>12.921741769825761</v>
      </c>
      <c r="AH54">
        <v>12.921741769825761</v>
      </c>
      <c r="AJ54">
        <v>12.921741769825763</v>
      </c>
      <c r="AL54">
        <v>12.92174176982576</v>
      </c>
      <c r="AN54">
        <v>12.921741769825761</v>
      </c>
      <c r="AP54">
        <v>12.921741769825763</v>
      </c>
      <c r="AR54">
        <v>12.921741769825763</v>
      </c>
      <c r="AT54">
        <v>12.921741769825765</v>
      </c>
      <c r="AV54">
        <v>12.921741769825763</v>
      </c>
      <c r="AX54">
        <v>12.921741769825763</v>
      </c>
    </row>
    <row r="55" spans="25:51" x14ac:dyDescent="0.15">
      <c r="AD55" s="18">
        <f>(AE53* $F$2 + AE57* $H$2)*EXP($H$1*$F$1/$L$1)</f>
        <v>3.9438856450443733</v>
      </c>
      <c r="AF55" s="18">
        <f>(AG53* $F$2 + AG57* $H$2)*EXP($H$1*$F$1/$L$1)</f>
        <v>3.9417735305313535</v>
      </c>
      <c r="AH55" s="18">
        <f>(AI53* $F$2 + AI57* $H$2)*EXP($H$1*$F$1/$L$1)</f>
        <v>3.9396620847554584</v>
      </c>
      <c r="AJ55" s="18">
        <f>(AK53* $F$2 + AK57* $H$2)*EXP($H$1*$F$1/$L$1)</f>
        <v>3.9375513075319275</v>
      </c>
      <c r="AL55" s="18">
        <f>(AM53* $F$2 + AM57* $H$2)*EXP($H$1*$F$1/$L$1)</f>
        <v>3.9354411986760511</v>
      </c>
      <c r="AN55" s="18">
        <f>(AO53* $F$2 + AO57* $H$2)*EXP($H$1*$F$1/$L$1)</f>
        <v>3.9333317580031659</v>
      </c>
      <c r="AP55" s="18">
        <f>(AQ53* $F$2 + AQ57* $H$2)*EXP($H$1*$F$1/$L$1)</f>
        <v>3.9312229853286582</v>
      </c>
      <c r="AR55" s="18">
        <f>(AS53* $F$2 + AS57* $H$2)*EXP($H$1*$F$1/$L$1)</f>
        <v>3.9291148804679623</v>
      </c>
      <c r="AT55" s="18">
        <f>(AU53* $F$2 + AU57* $H$2)*EXP($H$1*$F$1/$L$1)</f>
        <v>3.9270074432365618</v>
      </c>
      <c r="AV55" s="18">
        <f>(AW53* $F$2 + AW57* $H$2)*EXP($H$1*$F$1/$L$1)</f>
        <v>3.9249006734499865</v>
      </c>
      <c r="AX55" s="18">
        <f>(AY53* $F$2 + AY57* $H$2)*EXP($H$1*$F$1/$L$1)</f>
        <v>3.9227945709238163</v>
      </c>
    </row>
    <row r="56" spans="25:51" x14ac:dyDescent="0.15">
      <c r="AC56">
        <v>12.808031901116433</v>
      </c>
      <c r="AE56">
        <v>12.808031901116433</v>
      </c>
      <c r="AG56">
        <v>12.808031901116435</v>
      </c>
      <c r="AI56">
        <v>12.808031901116435</v>
      </c>
      <c r="AK56">
        <v>12.808031901116435</v>
      </c>
      <c r="AM56">
        <v>12.808031901116435</v>
      </c>
      <c r="AO56">
        <v>12.808031901116436</v>
      </c>
      <c r="AQ56">
        <v>12.808031901116436</v>
      </c>
      <c r="AS56">
        <v>12.808031901116435</v>
      </c>
      <c r="AU56">
        <v>12.808031901116438</v>
      </c>
      <c r="AW56">
        <v>12.808031901116436</v>
      </c>
      <c r="AY56">
        <v>12.808031901116438</v>
      </c>
    </row>
    <row r="57" spans="25:51" x14ac:dyDescent="0.15">
      <c r="AC57" s="18">
        <f>(AD55* $F$2 + AD59* $H$2)*EXP($H$1*$F$1/$L$1)</f>
        <v>3.8309189519269293</v>
      </c>
      <c r="AE57" s="18">
        <f>(AF55* $F$2 + AF59* $H$2)*EXP($H$1*$F$1/$L$1)</f>
        <v>3.8288350051634286</v>
      </c>
      <c r="AG57" s="18">
        <f>(AH55* $F$2 + AH59* $H$2)*EXP($H$1*$F$1/$L$1)</f>
        <v>3.8267517201047934</v>
      </c>
      <c r="AI57" s="18">
        <f>(AJ55* $F$2 + AJ59* $H$2)*EXP($H$1*$F$1/$L$1)</f>
        <v>3.8246690965680208</v>
      </c>
      <c r="AK57" s="18">
        <f>(AL55* $F$2 + AL59* $H$2)*EXP($H$1*$F$1/$L$1)</f>
        <v>3.8225871343701563</v>
      </c>
      <c r="AM57" s="18">
        <f>(AN55* $F$2 + AN59* $H$2)*EXP($H$1*$F$1/$L$1)</f>
        <v>3.8205058333282942</v>
      </c>
      <c r="AO57" s="18">
        <f>(AP55* $F$2 + AP59* $H$2)*EXP($H$1*$F$1/$L$1)</f>
        <v>3.8184251932595754</v>
      </c>
      <c r="AQ57" s="18">
        <f>(AR55* $F$2 + AR59* $H$2)*EXP($H$1*$F$1/$L$1)</f>
        <v>3.8163452139811902</v>
      </c>
      <c r="AS57" s="18">
        <f>(AT55* $F$2 + AT59* $H$2)*EXP($H$1*$F$1/$L$1)</f>
        <v>3.8142658953103741</v>
      </c>
      <c r="AU57" s="18">
        <f>(AV55* $F$2 + AV59* $H$2)*EXP($H$1*$F$1/$L$1)</f>
        <v>3.8121872370644136</v>
      </c>
      <c r="AW57" s="18">
        <f>(AX55* $F$2 + AX59* $H$2)*EXP($H$1*$F$1/$L$1)</f>
        <v>3.8101092390606413</v>
      </c>
      <c r="AY57" s="16">
        <f>MAX(AY56 - $J$1, 0)</f>
        <v>3.8080319011164381</v>
      </c>
    </row>
    <row r="58" spans="25:51" x14ac:dyDescent="0.15">
      <c r="AB58">
        <v>12.695322666413897</v>
      </c>
      <c r="AD58">
        <v>12.695322666413901</v>
      </c>
      <c r="AF58">
        <v>12.695322666413901</v>
      </c>
      <c r="AH58">
        <v>12.695322666413899</v>
      </c>
      <c r="AJ58">
        <v>12.695322666413901</v>
      </c>
      <c r="AL58">
        <v>12.695322666413899</v>
      </c>
      <c r="AN58">
        <v>12.695322666413901</v>
      </c>
      <c r="AP58">
        <v>12.695322666413901</v>
      </c>
      <c r="AR58">
        <v>12.695322666413901</v>
      </c>
      <c r="AT58">
        <v>12.695322666413904</v>
      </c>
      <c r="AV58">
        <v>12.695322666413901</v>
      </c>
      <c r="AX58">
        <v>12.695322666413903</v>
      </c>
    </row>
    <row r="59" spans="25:51" x14ac:dyDescent="0.15">
      <c r="AB59" s="18">
        <f>(AC57* $F$2 + AC61* $H$2)*EXP($H$1*$F$1/$L$1)</f>
        <v>3.7189274335000495</v>
      </c>
      <c r="AD59" s="18">
        <f>(AE57* $F$2 + AE61* $H$2)*EXP($H$1*$F$1/$L$1)</f>
        <v>3.7168714107184662</v>
      </c>
      <c r="AF59" s="18">
        <f>(AG57* $F$2 + AG61* $H$2)*EXP($H$1*$F$1/$L$1)</f>
        <v>3.7148160426704249</v>
      </c>
      <c r="AH59" s="18">
        <f>(AI57* $F$2 + AI61* $H$2)*EXP($H$1*$F$1/$L$1)</f>
        <v>3.7127613291746639</v>
      </c>
      <c r="AJ59" s="18">
        <f>(AK57* $F$2 + AK61* $H$2)*EXP($H$1*$F$1/$L$1)</f>
        <v>3.710707270049971</v>
      </c>
      <c r="AL59" s="18">
        <f>(AM57* $F$2 + AM61* $H$2)*EXP($H$1*$F$1/$L$1)</f>
        <v>3.7086538651151786</v>
      </c>
      <c r="AN59" s="18">
        <f>(AO57* $F$2 + AO61* $H$2)*EXP($H$1*$F$1/$L$1)</f>
        <v>3.7066011141891702</v>
      </c>
      <c r="AP59" s="18">
        <f>(AQ57* $F$2 + AQ61* $H$2)*EXP($H$1*$F$1/$L$1)</f>
        <v>3.7045490170908741</v>
      </c>
      <c r="AR59" s="18">
        <f>(AS57* $F$2 + AS61* $H$2)*EXP($H$1*$F$1/$L$1)</f>
        <v>3.7024975736392673</v>
      </c>
      <c r="AT59" s="18">
        <f>(AU57* $F$2 + AU61* $H$2)*EXP($H$1*$F$1/$L$1)</f>
        <v>3.7004467836533723</v>
      </c>
      <c r="AV59" s="18">
        <f>(AW57* $F$2 + AW61* $H$2)*EXP($H$1*$F$1/$L$1)</f>
        <v>3.6983966469522627</v>
      </c>
      <c r="AX59" s="18">
        <f>(AY57* $F$2 + AY61* $H$2)*EXP($H$1*$F$1/$L$1)</f>
        <v>3.6963471633550569</v>
      </c>
    </row>
    <row r="60" spans="25:51" x14ac:dyDescent="0.15">
      <c r="AA60">
        <v>12.583605260251868</v>
      </c>
      <c r="AC60">
        <v>12.58360526025187</v>
      </c>
      <c r="AE60">
        <v>12.58360526025187</v>
      </c>
      <c r="AG60">
        <v>12.583605260251872</v>
      </c>
      <c r="AI60">
        <v>12.583605260251872</v>
      </c>
      <c r="AK60">
        <v>12.583605260251872</v>
      </c>
      <c r="AM60">
        <v>12.583605260251872</v>
      </c>
      <c r="AO60">
        <v>12.583605260251874</v>
      </c>
      <c r="AQ60">
        <v>12.583605260251874</v>
      </c>
      <c r="AS60">
        <v>12.583605260251874</v>
      </c>
      <c r="AU60">
        <v>12.583605260251874</v>
      </c>
      <c r="AW60">
        <v>12.583605260251876</v>
      </c>
      <c r="AY60">
        <v>12.583605260251877</v>
      </c>
    </row>
    <row r="61" spans="25:51" x14ac:dyDescent="0.15">
      <c r="AA61" s="18">
        <f>(AB59* $F$2 + AB63* $H$2)*EXP($H$1*$F$1/$L$1)</f>
        <v>3.6079026288606286</v>
      </c>
      <c r="AC61" s="18">
        <f>(AD59* $F$2 + AD63* $H$2)*EXP($H$1*$F$1/$L$1)</f>
        <v>3.605874288408323</v>
      </c>
      <c r="AE61" s="18">
        <f>(AF59* $F$2 + AF63* $H$2)*EXP($H$1*$F$1/$L$1)</f>
        <v>3.6038465957786419</v>
      </c>
      <c r="AG61" s="18">
        <f>(AH59* $F$2 + AH63* $H$2)*EXP($H$1*$F$1/$L$1)</f>
        <v>3.601819550792051</v>
      </c>
      <c r="AI61" s="18">
        <f>(AJ59* $F$2 + AJ63* $H$2)*EXP($H$1*$F$1/$L$1)</f>
        <v>3.5997931532690619</v>
      </c>
      <c r="AK61" s="18">
        <f>(AL59* $F$2 + AL63* $H$2)*EXP($H$1*$F$1/$L$1)</f>
        <v>3.5977674030302347</v>
      </c>
      <c r="AM61" s="18">
        <f>(AN59* $F$2 + AN63* $H$2)*EXP($H$1*$F$1/$L$1)</f>
        <v>3.5957422998961763</v>
      </c>
      <c r="AO61" s="18">
        <f>(AP59* $F$2 + AP63* $H$2)*EXP($H$1*$F$1/$L$1)</f>
        <v>3.5937178436875405</v>
      </c>
      <c r="AQ61" s="18">
        <f>(AR59* $F$2 + AR63* $H$2)*EXP($H$1*$F$1/$L$1)</f>
        <v>3.5916940342250285</v>
      </c>
      <c r="AS61" s="18">
        <f>(AT59* $F$2 + AT63* $H$2)*EXP($H$1*$F$1/$L$1)</f>
        <v>3.5896708713293877</v>
      </c>
      <c r="AU61" s="18">
        <f>(AV59* $F$2 + AV63* $H$2)*EXP($H$1*$F$1/$L$1)</f>
        <v>3.5876483548214124</v>
      </c>
      <c r="AW61" s="18">
        <f>(AX59* $F$2 + AX63* $H$2)*EXP($H$1*$F$1/$L$1)</f>
        <v>3.5856264845219465</v>
      </c>
      <c r="AY61" s="16">
        <f>MAX(AY60 - $J$1, 0)</f>
        <v>3.5836052602518773</v>
      </c>
    </row>
    <row r="62" spans="25:51" x14ac:dyDescent="0.15">
      <c r="Z62">
        <v>12.472870954651167</v>
      </c>
      <c r="AB62">
        <v>12.472870954651167</v>
      </c>
      <c r="AD62">
        <v>12.472870954651171</v>
      </c>
      <c r="AF62">
        <v>12.472870954651169</v>
      </c>
      <c r="AH62">
        <v>12.472870954651169</v>
      </c>
      <c r="AJ62">
        <v>12.472870954651171</v>
      </c>
      <c r="AL62">
        <v>12.472870954651169</v>
      </c>
      <c r="AN62">
        <v>12.472870954651171</v>
      </c>
      <c r="AP62">
        <v>12.472870954651171</v>
      </c>
      <c r="AR62">
        <v>12.472870954651173</v>
      </c>
      <c r="AT62">
        <v>12.472870954651173</v>
      </c>
      <c r="AV62">
        <v>12.472870954651171</v>
      </c>
      <c r="AX62">
        <v>12.472870954651173</v>
      </c>
    </row>
    <row r="63" spans="25:51" x14ac:dyDescent="0.15">
      <c r="Z63" s="18">
        <f>(AA61* $F$2 + AA65* $H$2)*EXP($H$1*$F$1/$L$1)</f>
        <v>3.4978361505121622</v>
      </c>
      <c r="AB63" s="18">
        <f>(AC61* $F$2 + AC65* $H$2)*EXP($H$1*$F$1/$L$1)</f>
        <v>3.4958352528331074</v>
      </c>
      <c r="AD63" s="18">
        <f>(AE61* $F$2 + AE65* $H$2)*EXP($H$1*$F$1/$L$1)</f>
        <v>3.4938349961256412</v>
      </c>
      <c r="AF63" s="18">
        <f>(AG61* $F$2 + AG65* $H$2)*EXP($H$1*$F$1/$L$1)</f>
        <v>3.4918353802119406</v>
      </c>
      <c r="AH63" s="18">
        <f>(AI61* $F$2 + AI65* $H$2)*EXP($H$1*$F$1/$L$1)</f>
        <v>3.4898364049142296</v>
      </c>
      <c r="AJ63" s="18">
        <f>(AK61* $F$2 + AK65* $H$2)*EXP($H$1*$F$1/$L$1)</f>
        <v>3.4878380700547775</v>
      </c>
      <c r="AL63" s="18">
        <f>(AM61* $F$2 + AM65* $H$2)*EXP($H$1*$F$1/$L$1)</f>
        <v>3.485840375455902</v>
      </c>
      <c r="AN63" s="18">
        <f>(AO61* $F$2 + AO65* $H$2)*EXP($H$1*$F$1/$L$1)</f>
        <v>3.4838433209399673</v>
      </c>
      <c r="AP63" s="18">
        <f>(AQ61* $F$2 + AQ65* $H$2)*EXP($H$1*$F$1/$L$1)</f>
        <v>3.4818469063293827</v>
      </c>
      <c r="AR63" s="18">
        <f>(AS61* $F$2 + AS65* $H$2)*EXP($H$1*$F$1/$L$1)</f>
        <v>3.4798511314466047</v>
      </c>
      <c r="AT63" s="18">
        <f>(AU61* $F$2 + AU65* $H$2)*EXP($H$1*$F$1/$L$1)</f>
        <v>3.4778559961141369</v>
      </c>
      <c r="AV63" s="18">
        <f>(AW61* $F$2 + AW65* $H$2)*EXP($H$1*$F$1/$L$1)</f>
        <v>3.4758615001545299</v>
      </c>
      <c r="AX63" s="18">
        <f>(AY61* $F$2 + AY65* $H$2)*EXP($H$1*$F$1/$L$1)</f>
        <v>3.4738676433903795</v>
      </c>
    </row>
    <row r="64" spans="25:51" x14ac:dyDescent="0.15">
      <c r="Y64">
        <v>12.363111098437845</v>
      </c>
      <c r="AA64">
        <v>12.363111098437843</v>
      </c>
      <c r="AC64">
        <v>12.363111098437846</v>
      </c>
      <c r="AE64">
        <v>12.363111098437845</v>
      </c>
      <c r="AG64">
        <v>12.363111098437846</v>
      </c>
      <c r="AI64">
        <v>12.363111098437846</v>
      </c>
      <c r="AK64">
        <v>12.363111098437848</v>
      </c>
      <c r="AM64">
        <v>12.363111098437848</v>
      </c>
      <c r="AO64">
        <v>12.363111098437848</v>
      </c>
      <c r="AQ64">
        <v>12.363111098437848</v>
      </c>
      <c r="AS64">
        <v>12.363111098437848</v>
      </c>
      <c r="AU64">
        <v>12.36311109843785</v>
      </c>
      <c r="AW64">
        <v>12.363111098437852</v>
      </c>
      <c r="AY64">
        <v>12.36311109843785</v>
      </c>
    </row>
    <row r="65" spans="17:51" x14ac:dyDescent="0.15">
      <c r="Y65" s="18">
        <f>(Z63* $F$2 + Z67* $H$2)*EXP($H$1*$F$1/$L$1)</f>
        <v>3.3887196837278748</v>
      </c>
      <c r="AA65" s="18">
        <f>(AB63* $F$2 + AB67* $H$2)*EXP($H$1*$F$1/$L$1)</f>
        <v>3.3867459913444642</v>
      </c>
      <c r="AC65" s="18">
        <f>(AD63* $F$2 + AD67* $H$2)*EXP($H$1*$F$1/$L$1)</f>
        <v>3.3847729331409693</v>
      </c>
      <c r="AE65" s="18">
        <f>(AF63* $F$2 + AF67* $H$2)*EXP($H$1*$F$1/$L$1)</f>
        <v>3.3828005089412634</v>
      </c>
      <c r="AG65" s="18">
        <f>(AH63* $F$2 + AH67* $H$2)*EXP($H$1*$F$1/$L$1)</f>
        <v>3.3808287185692669</v>
      </c>
      <c r="AI65" s="18">
        <f>(AJ63* $F$2 + AJ67* $H$2)*EXP($H$1*$F$1/$L$1)</f>
        <v>3.3788575618489451</v>
      </c>
      <c r="AK65" s="18">
        <f>(AL63* $F$2 + AL67* $H$2)*EXP($H$1*$F$1/$L$1)</f>
        <v>3.3768870386043108</v>
      </c>
      <c r="AM65" s="18">
        <f>(AN63* $F$2 + AN67* $H$2)*EXP($H$1*$F$1/$L$1)</f>
        <v>3.3749171486594225</v>
      </c>
      <c r="AO65" s="18">
        <f>(AP63* $F$2 + AP67* $H$2)*EXP($H$1*$F$1/$L$1)</f>
        <v>3.3729478918383857</v>
      </c>
      <c r="AQ65" s="18">
        <f>(AR63* $F$2 + AR67* $H$2)*EXP($H$1*$F$1/$L$1)</f>
        <v>3.3709792679653492</v>
      </c>
      <c r="AS65" s="18">
        <f>(AT63* $F$2 + AT67* $H$2)*EXP($H$1*$F$1/$L$1)</f>
        <v>3.3690112768645117</v>
      </c>
      <c r="AU65" s="18">
        <f>(AV63* $F$2 + AV67* $H$2)*EXP($H$1*$F$1/$L$1)</f>
        <v>3.3670439183601157</v>
      </c>
      <c r="AW65" s="18">
        <f>(AX63* $F$2 + AX67* $H$2)*EXP($H$1*$F$1/$L$1)</f>
        <v>3.3650771922764497</v>
      </c>
      <c r="AY65" s="16">
        <f>MAX(AY64 - $J$1, 0)</f>
        <v>3.3631110984378498</v>
      </c>
    </row>
    <row r="66" spans="17:51" x14ac:dyDescent="0.15">
      <c r="X66">
        <v>12.254317116567305</v>
      </c>
      <c r="Z66">
        <v>12.254317116567307</v>
      </c>
      <c r="AB66">
        <v>12.254317116567307</v>
      </c>
      <c r="AD66">
        <v>12.254317116567309</v>
      </c>
      <c r="AF66">
        <v>12.254317116567307</v>
      </c>
      <c r="AH66">
        <v>12.254317116567307</v>
      </c>
      <c r="AJ66">
        <v>12.254317116567311</v>
      </c>
      <c r="AL66">
        <v>12.254317116567309</v>
      </c>
      <c r="AN66">
        <v>12.254317116567309</v>
      </c>
      <c r="AP66">
        <v>12.254317116567311</v>
      </c>
      <c r="AR66">
        <v>12.254317116567309</v>
      </c>
      <c r="AT66">
        <v>12.254317116567311</v>
      </c>
      <c r="AV66">
        <v>12.254317116567311</v>
      </c>
      <c r="AX66">
        <v>12.254317116567311</v>
      </c>
    </row>
    <row r="67" spans="17:51" x14ac:dyDescent="0.15">
      <c r="X67" s="18">
        <f>(Y65* $F$2 + Y69* $H$2)*EXP($H$1*$F$1/$L$1)</f>
        <v>3.2805449859193683</v>
      </c>
      <c r="Z67" s="18">
        <f>(AA65* $F$2 + AA69* $H$2)*EXP($H$1*$F$1/$L$1)</f>
        <v>3.2785982634143847</v>
      </c>
      <c r="AB67" s="18">
        <f>(AC65* $F$2 + AC69* $H$2)*EXP($H$1*$F$1/$L$1)</f>
        <v>3.2766521683564913</v>
      </c>
      <c r="AD67" s="18">
        <f>(AE65* $F$2 + AE69* $H$2)*EXP($H$1*$F$1/$L$1)</f>
        <v>3.2747067005712438</v>
      </c>
      <c r="AF67" s="18">
        <f>(AG65* $F$2 + AG69* $H$2)*EXP($H$1*$F$1/$L$1)</f>
        <v>3.272761859884243</v>
      </c>
      <c r="AH67" s="18">
        <f>(AI65* $F$2 + AI69* $H$2)*EXP($H$1*$F$1/$L$1)</f>
        <v>3.2708176461211367</v>
      </c>
      <c r="AJ67" s="18">
        <f>(AK65* $F$2 + AK69* $H$2)*EXP($H$1*$F$1/$L$1)</f>
        <v>3.2688740591076169</v>
      </c>
      <c r="AL67" s="18">
        <f>(AM65* $F$2 + AM69* $H$2)*EXP($H$1*$F$1/$L$1)</f>
        <v>3.2669310986694233</v>
      </c>
      <c r="AN67" s="18">
        <f>(AO65* $F$2 + AO69* $H$2)*EXP($H$1*$F$1/$L$1)</f>
        <v>3.2649887646323403</v>
      </c>
      <c r="AP67" s="18">
        <f>(AQ65* $F$2 + AQ69* $H$2)*EXP($H$1*$F$1/$L$1)</f>
        <v>3.2630470568221974</v>
      </c>
      <c r="AR67" s="18">
        <f>(AS65* $F$2 + AS69* $H$2)*EXP($H$1*$F$1/$L$1)</f>
        <v>3.2611059750648703</v>
      </c>
      <c r="AT67" s="18">
        <f>(AU65* $F$2 + AU69* $H$2)*EXP($H$1*$F$1/$L$1)</f>
        <v>3.2591655191862823</v>
      </c>
      <c r="AV67" s="18">
        <f>(AW65* $F$2 + AW69* $H$2)*EXP($H$1*$F$1/$L$1)</f>
        <v>3.2572256890123987</v>
      </c>
      <c r="AX67" s="18">
        <f>(AY65* $F$2 + AY69* $H$2)*EXP($H$1*$F$1/$L$1)</f>
        <v>3.2552864843692335</v>
      </c>
    </row>
    <row r="68" spans="17:51" x14ac:dyDescent="0.15">
      <c r="W68">
        <v>12.146480509454385</v>
      </c>
      <c r="Y68">
        <v>12.146480509454385</v>
      </c>
      <c r="AA68">
        <v>12.146480509454385</v>
      </c>
      <c r="AC68">
        <v>12.146480509454387</v>
      </c>
      <c r="AE68">
        <v>12.146480509454385</v>
      </c>
      <c r="AG68">
        <v>12.146480509454387</v>
      </c>
      <c r="AI68">
        <v>12.146480509454387</v>
      </c>
      <c r="AK68">
        <v>12.146480509454388</v>
      </c>
      <c r="AM68">
        <v>12.146480509454387</v>
      </c>
      <c r="AO68">
        <v>12.146480509454388</v>
      </c>
      <c r="AQ68">
        <v>12.146480509454388</v>
      </c>
      <c r="AS68">
        <v>12.146480509454388</v>
      </c>
      <c r="AU68">
        <v>12.14648050945439</v>
      </c>
      <c r="AW68">
        <v>12.14648050945439</v>
      </c>
      <c r="AY68">
        <v>12.14648050945439</v>
      </c>
    </row>
    <row r="69" spans="17:51" x14ac:dyDescent="0.15">
      <c r="W69" s="18">
        <f>(X67* $F$2 + X71* $H$2)*EXP($H$1*$F$1/$L$1)</f>
        <v>3.1733038860107525</v>
      </c>
      <c r="Y69" s="18">
        <f>(Z67* $F$2 + Z71* $H$2)*EXP($H$1*$F$1/$L$1)</f>
        <v>3.1713839000094919</v>
      </c>
      <c r="AA69" s="18">
        <f>(AB67* $F$2 + AB71* $H$2)*EXP($H$1*$F$1/$L$1)</f>
        <v>3.1694645347808335</v>
      </c>
      <c r="AC69" s="18">
        <f>(AD67* $F$2 + AD71* $H$2)*EXP($H$1*$F$1/$L$1)</f>
        <v>3.1675457901519999</v>
      </c>
      <c r="AE69" s="18">
        <f>(AF67* $F$2 + AF71* $H$2)*EXP($H$1*$F$1/$L$1)</f>
        <v>3.1656276659502587</v>
      </c>
      <c r="AG69" s="18">
        <f>(AH67* $F$2 + AH71* $H$2)*EXP($H$1*$F$1/$L$1)</f>
        <v>3.163710162002924</v>
      </c>
      <c r="AI69" s="18">
        <f>(AJ67* $F$2 + AJ71* $H$2)*EXP($H$1*$F$1/$L$1)</f>
        <v>3.1617932781373548</v>
      </c>
      <c r="AK69" s="18">
        <f>(AL67* $F$2 + AL71* $H$2)*EXP($H$1*$F$1/$L$1)</f>
        <v>3.1598770141809549</v>
      </c>
      <c r="AM69" s="18">
        <f>(AN67* $F$2 + AN71* $H$2)*EXP($H$1*$F$1/$L$1)</f>
        <v>3.1579613699611748</v>
      </c>
      <c r="AO69" s="18">
        <f>(AP67* $F$2 + AP71* $H$2)*EXP($H$1*$F$1/$L$1)</f>
        <v>3.1560463453055085</v>
      </c>
      <c r="AQ69" s="18">
        <f>(AR67* $F$2 + AR71* $H$2)*EXP($H$1*$F$1/$L$1)</f>
        <v>3.1541319400414971</v>
      </c>
      <c r="AS69" s="18">
        <f>(AT67* $F$2 + AT71* $H$2)*EXP($H$1*$F$1/$L$1)</f>
        <v>3.152218153996726</v>
      </c>
      <c r="AU69" s="18">
        <f>(AV67* $F$2 + AV71* $H$2)*EXP($H$1*$F$1/$L$1)</f>
        <v>3.150304986998826</v>
      </c>
      <c r="AW69" s="18">
        <f>(AX67* $F$2 + AX71* $H$2)*EXP($H$1*$F$1/$L$1)</f>
        <v>3.1483924388754736</v>
      </c>
      <c r="AY69" s="16">
        <f>MAX(AY68 - $J$1, 0)</f>
        <v>3.1464805094543902</v>
      </c>
    </row>
    <row r="70" spans="17:51" x14ac:dyDescent="0.15">
      <c r="V70">
        <v>12.039592852309299</v>
      </c>
      <c r="X70">
        <v>12.039592852309299</v>
      </c>
      <c r="Z70">
        <v>12.039592852309299</v>
      </c>
      <c r="AB70">
        <v>12.039592852309299</v>
      </c>
      <c r="AD70">
        <v>12.039592852309301</v>
      </c>
      <c r="AF70">
        <v>12.039592852309301</v>
      </c>
      <c r="AH70">
        <v>12.039592852309301</v>
      </c>
      <c r="AJ70">
        <v>12.039592852309303</v>
      </c>
      <c r="AL70">
        <v>12.039592852309301</v>
      </c>
      <c r="AN70">
        <v>12.039592852309303</v>
      </c>
      <c r="AP70">
        <v>12.039592852309303</v>
      </c>
      <c r="AR70">
        <v>12.039592852309303</v>
      </c>
      <c r="AT70">
        <v>12.039592852309305</v>
      </c>
      <c r="AV70">
        <v>12.039592852309303</v>
      </c>
      <c r="AX70">
        <v>12.039592852309303</v>
      </c>
    </row>
    <row r="71" spans="17:51" x14ac:dyDescent="0.15">
      <c r="V71" s="18">
        <f>(W69* $F$2 + W73* $H$2)*EXP($H$1*$F$1/$L$1)</f>
        <v>3.0669882838182025</v>
      </c>
      <c r="X71" s="18">
        <f>(Y69* $F$2 + Y73* $H$2)*EXP($H$1*$F$1/$L$1)</f>
        <v>3.065094802970755</v>
      </c>
      <c r="Z71" s="18">
        <f>(AA69* $F$2 + AA73* $H$2)*EXP($H$1*$F$1/$L$1)</f>
        <v>3.0632019362792509</v>
      </c>
      <c r="AB71" s="18">
        <f>(AC69* $F$2 + AC73* $H$2)*EXP($H$1*$F$1/$L$1)</f>
        <v>3.0613096835725671</v>
      </c>
      <c r="AD71" s="18">
        <f>(AE69* $F$2 + AE73* $H$2)*EXP($H$1*$F$1/$L$1)</f>
        <v>3.059418044679624</v>
      </c>
      <c r="AF71" s="18">
        <f>(AG69* $F$2 + AG73* $H$2)*EXP($H$1*$F$1/$L$1)</f>
        <v>3.0575270194293864</v>
      </c>
      <c r="AH71" s="18">
        <f>(AI69* $F$2 + AI73* $H$2)*EXP($H$1*$F$1/$L$1)</f>
        <v>3.0556366076508659</v>
      </c>
      <c r="AJ71" s="18">
        <f>(AK69* $F$2 + AK73* $H$2)*EXP($H$1*$F$1/$L$1)</f>
        <v>3.0537468091731168</v>
      </c>
      <c r="AL71" s="18">
        <f>(AM69* $F$2 + AM73* $H$2)*EXP($H$1*$F$1/$L$1)</f>
        <v>3.0518576238252408</v>
      </c>
      <c r="AN71" s="18">
        <f>(AO69* $F$2 + AO73* $H$2)*EXP($H$1*$F$1/$L$1)</f>
        <v>3.0499690514363822</v>
      </c>
      <c r="AP71" s="18">
        <f>(AQ69* $F$2 + AQ73* $H$2)*EXP($H$1*$F$1/$L$1)</f>
        <v>3.0480810918357322</v>
      </c>
      <c r="AR71" s="18">
        <f>(AS69* $F$2 + AS73* $H$2)*EXP($H$1*$F$1/$L$1)</f>
        <v>3.0461937448525256</v>
      </c>
      <c r="AT71" s="18">
        <f>(AU69* $F$2 + AU73* $H$2)*EXP($H$1*$F$1/$L$1)</f>
        <v>3.0443070103160426</v>
      </c>
      <c r="AV71" s="18">
        <f>(AW69* $F$2 + AW73* $H$2)*EXP($H$1*$F$1/$L$1)</f>
        <v>3.0424208880556076</v>
      </c>
      <c r="AX71" s="18">
        <f>(AY69* $F$2 + AY73* $H$2)*EXP($H$1*$F$1/$L$1)</f>
        <v>3.040535377900591</v>
      </c>
    </row>
    <row r="72" spans="17:51" x14ac:dyDescent="0.15">
      <c r="U72">
        <v>11.933645794479471</v>
      </c>
      <c r="W72">
        <v>11.933645794479471</v>
      </c>
      <c r="Y72">
        <v>11.933645794479471</v>
      </c>
      <c r="AA72">
        <v>11.933645794479469</v>
      </c>
      <c r="AC72">
        <v>11.933645794479471</v>
      </c>
      <c r="AE72">
        <v>11.933645794479471</v>
      </c>
      <c r="AG72">
        <v>11.933645794479473</v>
      </c>
      <c r="AI72">
        <v>11.933645794479473</v>
      </c>
      <c r="AK72">
        <v>11.933645794479473</v>
      </c>
      <c r="AM72">
        <v>11.933645794479474</v>
      </c>
      <c r="AO72">
        <v>11.933645794479473</v>
      </c>
      <c r="AQ72">
        <v>11.933645794479474</v>
      </c>
      <c r="AS72">
        <v>11.933645794479474</v>
      </c>
      <c r="AU72">
        <v>11.933645794479474</v>
      </c>
      <c r="AW72">
        <v>11.933645794479476</v>
      </c>
      <c r="AY72">
        <v>11.933645794479476</v>
      </c>
    </row>
    <row r="73" spans="17:51" x14ac:dyDescent="0.15">
      <c r="U73" s="18">
        <f>(V71* $F$2 + V75* $H$2)*EXP($H$1*$F$1/$L$1)</f>
        <v>2.9615901494349037</v>
      </c>
      <c r="W73" s="18">
        <f>(X71* $F$2 + X75* $H$2)*EXP($H$1*$F$1/$L$1)</f>
        <v>2.9597229443985826</v>
      </c>
      <c r="Y73" s="18">
        <f>(Z71* $F$2 + Z75* $H$2)*EXP($H$1*$F$1/$L$1)</f>
        <v>2.9578563469588772</v>
      </c>
      <c r="AA73" s="18">
        <f>(AB71* $F$2 + AB75* $H$2)*EXP($H$1*$F$1/$L$1)</f>
        <v>2.9559903569463017</v>
      </c>
      <c r="AC73" s="18">
        <f>(AD71* $F$2 + AD75* $H$2)*EXP($H$1*$F$1/$L$1)</f>
        <v>2.9541249741914144</v>
      </c>
      <c r="AE73" s="18">
        <f>(AF71* $F$2 + AF75* $H$2)*EXP($H$1*$F$1/$L$1)</f>
        <v>2.9522601985248191</v>
      </c>
      <c r="AG73" s="18">
        <f>(AH71* $F$2 + AH75* $H$2)*EXP($H$1*$F$1/$L$1)</f>
        <v>2.9503960297771634</v>
      </c>
      <c r="AI73" s="18">
        <f>(AJ71* $F$2 + AJ75* $H$2)*EXP($H$1*$F$1/$L$1)</f>
        <v>2.9485324677791391</v>
      </c>
      <c r="AK73" s="18">
        <f>(AL71* $F$2 + AL75* $H$2)*EXP($H$1*$F$1/$L$1)</f>
        <v>2.9466695123614839</v>
      </c>
      <c r="AM73" s="18">
        <f>(AN71* $F$2 + AN75* $H$2)*EXP($H$1*$F$1/$L$1)</f>
        <v>2.9448071633549793</v>
      </c>
      <c r="AO73" s="18">
        <f>(AP71* $F$2 + AP75* $H$2)*EXP($H$1*$F$1/$L$1)</f>
        <v>2.9429454205904513</v>
      </c>
      <c r="AQ73" s="18">
        <f>(AR71* $F$2 + AR75* $H$2)*EXP($H$1*$F$1/$L$1)</f>
        <v>2.9410842838987699</v>
      </c>
      <c r="AS73" s="18">
        <f>(AT71* $F$2 + AT75* $H$2)*EXP($H$1*$F$1/$L$1)</f>
        <v>2.9392237531108498</v>
      </c>
      <c r="AU73" s="18">
        <f>(AV71* $F$2 + AV75* $H$2)*EXP($H$1*$F$1/$L$1)</f>
        <v>2.9373638280576508</v>
      </c>
      <c r="AW73" s="18">
        <f>(AX71* $F$2 + AX75* $H$2)*EXP($H$1*$F$1/$L$1)</f>
        <v>2.935504508570177</v>
      </c>
      <c r="AY73" s="16">
        <f>MAX(AY72 - $J$1, 0)</f>
        <v>2.9336457944794763</v>
      </c>
    </row>
    <row r="74" spans="17:51" x14ac:dyDescent="0.15">
      <c r="T74">
        <v>11.828631058797116</v>
      </c>
      <c r="V74">
        <v>11.828631058797118</v>
      </c>
      <c r="X74">
        <v>11.828631058797116</v>
      </c>
      <c r="Z74">
        <v>11.828631058797118</v>
      </c>
      <c r="AB74">
        <v>11.828631058797116</v>
      </c>
      <c r="AD74">
        <v>11.82863105879712</v>
      </c>
      <c r="AF74">
        <v>11.82863105879712</v>
      </c>
      <c r="AH74">
        <v>11.82863105879712</v>
      </c>
      <c r="AJ74">
        <v>11.82863105879712</v>
      </c>
      <c r="AL74">
        <v>11.82863105879712</v>
      </c>
      <c r="AN74">
        <v>11.82863105879712</v>
      </c>
      <c r="AP74">
        <v>11.82863105879712</v>
      </c>
      <c r="AR74">
        <v>11.828631058797122</v>
      </c>
      <c r="AT74">
        <v>11.828631058797122</v>
      </c>
      <c r="AV74">
        <v>11.828631058797122</v>
      </c>
      <c r="AX74">
        <v>11.828631058797122</v>
      </c>
    </row>
    <row r="75" spans="17:51" x14ac:dyDescent="0.15">
      <c r="T75" s="18">
        <f>(U73* $F$2 + U77* $H$2)*EXP($H$1*$F$1/$L$1)</f>
        <v>2.8571015226240539</v>
      </c>
      <c r="V75" s="18">
        <f>(W73* $F$2 + W77* $H$2)*EXP($H$1*$F$1/$L$1)</f>
        <v>2.8552603660432578</v>
      </c>
      <c r="X75" s="18">
        <f>(Y73* $F$2 + Y77* $H$2)*EXP($H$1*$F$1/$L$1)</f>
        <v>2.8534198105593078</v>
      </c>
      <c r="Z75" s="18">
        <f>(AA73* $F$2 + AA77* $H$2)*EXP($H$1*$F$1/$L$1)</f>
        <v>2.851579856001615</v>
      </c>
      <c r="AB75" s="18">
        <f>(AC73* $F$2 + AC77* $H$2)*EXP($H$1*$F$1/$L$1)</f>
        <v>2.8497405022023612</v>
      </c>
      <c r="AD75" s="18">
        <f>(AE73* $F$2 + AE77* $H$2)*EXP($H$1*$F$1/$L$1)</f>
        <v>2.8479017489937744</v>
      </c>
      <c r="AF75" s="18">
        <f>(AG73* $F$2 + AG77* $H$2)*EXP($H$1*$F$1/$L$1)</f>
        <v>2.8460635962081251</v>
      </c>
      <c r="AH75" s="18">
        <f>(AI73* $F$2 + AI77* $H$2)*EXP($H$1*$F$1/$L$1)</f>
        <v>2.844226043677728</v>
      </c>
      <c r="AJ75" s="18">
        <f>(AK73* $F$2 + AK77* $H$2)*EXP($H$1*$F$1/$L$1)</f>
        <v>2.842389091234943</v>
      </c>
      <c r="AL75" s="18">
        <f>(AM73* $F$2 + AM77* $H$2)*EXP($H$1*$F$1/$L$1)</f>
        <v>2.8405527387121725</v>
      </c>
      <c r="AN75" s="18">
        <f>(AO73* $F$2 + AO77* $H$2)*EXP($H$1*$F$1/$L$1)</f>
        <v>2.8387169859418657</v>
      </c>
      <c r="AP75" s="18">
        <f>(AQ73* $F$2 + AQ77* $H$2)*EXP($H$1*$F$1/$L$1)</f>
        <v>2.8368818327565131</v>
      </c>
      <c r="AR75" s="18">
        <f>(AS73* $F$2 + AS77* $H$2)*EXP($H$1*$F$1/$L$1)</f>
        <v>2.8350472789886494</v>
      </c>
      <c r="AT75" s="18">
        <f>(AU73* $F$2 + AU77* $H$2)*EXP($H$1*$F$1/$L$1)</f>
        <v>2.8332133244708544</v>
      </c>
      <c r="AV75" s="18">
        <f>(AW73* $F$2 + AW77* $H$2)*EXP($H$1*$F$1/$L$1)</f>
        <v>2.8313799690357526</v>
      </c>
      <c r="AX75" s="18">
        <f>(AY73* $F$2 + AY77* $H$2)*EXP($H$1*$F$1/$L$1)</f>
        <v>2.8295472125160122</v>
      </c>
    </row>
    <row r="76" spans="17:51" x14ac:dyDescent="0.15">
      <c r="S76">
        <v>11.7245404409326</v>
      </c>
      <c r="U76">
        <v>11.724540440932602</v>
      </c>
      <c r="W76">
        <v>11.724540440932602</v>
      </c>
      <c r="Y76">
        <v>11.724540440932602</v>
      </c>
      <c r="AA76">
        <v>11.7245404409326</v>
      </c>
      <c r="AC76">
        <v>11.724540440932602</v>
      </c>
      <c r="AE76">
        <v>11.724540440932602</v>
      </c>
      <c r="AG76">
        <v>11.724540440932604</v>
      </c>
      <c r="AI76">
        <v>11.724540440932604</v>
      </c>
      <c r="AK76">
        <v>11.724540440932605</v>
      </c>
      <c r="AM76">
        <v>11.724540440932604</v>
      </c>
      <c r="AO76">
        <v>11.724540440932604</v>
      </c>
      <c r="AQ76">
        <v>11.724540440932605</v>
      </c>
      <c r="AS76">
        <v>11.724540440932604</v>
      </c>
      <c r="AU76">
        <v>11.724540440932605</v>
      </c>
      <c r="AW76">
        <v>11.724540440932607</v>
      </c>
      <c r="AY76">
        <v>11.724540440932607</v>
      </c>
    </row>
    <row r="77" spans="17:51" x14ac:dyDescent="0.15">
      <c r="S77" s="18">
        <f>(T75* $F$2 + T79* $H$2)*EXP($H$1*$F$1/$L$1)</f>
        <v>2.7535145122796827</v>
      </c>
      <c r="U77" s="18">
        <f>(V75* $F$2 + V79* $H$2)*EXP($H$1*$F$1/$L$1)</f>
        <v>2.7516991787061209</v>
      </c>
      <c r="W77" s="18">
        <f>(X75* $F$2 + X79* $H$2)*EXP($H$1*$F$1/$L$1)</f>
        <v>2.7498844398484685</v>
      </c>
      <c r="Y77" s="18">
        <f>(Z75* $F$2 + Z79* $H$2)*EXP($H$1*$F$1/$L$1)</f>
        <v>2.7480702954779939</v>
      </c>
      <c r="AA77" s="18">
        <f>(AB75* $F$2 + AB79* $H$2)*EXP($H$1*$F$1/$L$1)</f>
        <v>2.7462567454230205</v>
      </c>
      <c r="AC77" s="18">
        <f>(AD75* $F$2 + AD79* $H$2)*EXP($H$1*$F$1/$L$1)</f>
        <v>2.7444437895173848</v>
      </c>
      <c r="AE77" s="18">
        <f>(AF75* $F$2 + AF79* $H$2)*EXP($H$1*$F$1/$L$1)</f>
        <v>2.7426314275949664</v>
      </c>
      <c r="AG77" s="18">
        <f>(AH75* $F$2 + AH79* $H$2)*EXP($H$1*$F$1/$L$1)</f>
        <v>2.7408196594896896</v>
      </c>
      <c r="AI77" s="18">
        <f>(AJ75* $F$2 + AJ79* $H$2)*EXP($H$1*$F$1/$L$1)</f>
        <v>2.7390084850355221</v>
      </c>
      <c r="AK77" s="18">
        <f>(AL75* $F$2 + AL79* $H$2)*EXP($H$1*$F$1/$L$1)</f>
        <v>2.7371979040664733</v>
      </c>
      <c r="AM77" s="18">
        <f>(AN75* $F$2 + AN79* $H$2)*EXP($H$1*$F$1/$L$1)</f>
        <v>2.7353879164166002</v>
      </c>
      <c r="AO77" s="18">
        <f>(AP75* $F$2 + AP79* $H$2)*EXP($H$1*$F$1/$L$1)</f>
        <v>2.7335785219200011</v>
      </c>
      <c r="AQ77" s="18">
        <f>(AR75* $F$2 + AR79* $H$2)*EXP($H$1*$F$1/$L$1)</f>
        <v>2.7317697204108171</v>
      </c>
      <c r="AS77" s="18">
        <f>(AT75* $F$2 + AT79* $H$2)*EXP($H$1*$F$1/$L$1)</f>
        <v>2.7299615117232339</v>
      </c>
      <c r="AU77" s="18">
        <f>(AV75* $F$2 + AV79* $H$2)*EXP($H$1*$F$1/$L$1)</f>
        <v>2.7281538956914817</v>
      </c>
      <c r="AW77" s="18">
        <f>(AX75* $F$2 + AX79* $H$2)*EXP($H$1*$F$1/$L$1)</f>
        <v>2.7263468721498336</v>
      </c>
      <c r="AY77" s="16">
        <f>MAX(AY76 - $J$1, 0)</f>
        <v>2.7245404409326071</v>
      </c>
    </row>
    <row r="78" spans="17:51" x14ac:dyDescent="0.15">
      <c r="R78">
        <v>11.621365808753456</v>
      </c>
      <c r="T78">
        <v>11.621365808753456</v>
      </c>
      <c r="V78">
        <v>11.621365808753458</v>
      </c>
      <c r="X78">
        <v>11.621365808753456</v>
      </c>
      <c r="Z78">
        <v>11.621365808753458</v>
      </c>
      <c r="AB78">
        <v>11.621365808753456</v>
      </c>
      <c r="AD78">
        <v>11.62136580875346</v>
      </c>
      <c r="AF78">
        <v>11.62136580875346</v>
      </c>
      <c r="AH78">
        <v>11.62136580875346</v>
      </c>
      <c r="AJ78">
        <v>11.621365808753461</v>
      </c>
      <c r="AL78">
        <v>11.621365808753458</v>
      </c>
      <c r="AN78">
        <v>11.62136580875346</v>
      </c>
      <c r="AP78">
        <v>11.621365808753461</v>
      </c>
      <c r="AR78">
        <v>11.62136580875346</v>
      </c>
      <c r="AT78">
        <v>11.621365808753461</v>
      </c>
      <c r="AV78">
        <v>11.621365808753461</v>
      </c>
      <c r="AX78">
        <v>11.621365808753461</v>
      </c>
    </row>
    <row r="79" spans="17:51" x14ac:dyDescent="0.15">
      <c r="R79" s="18">
        <f>(S77* $F$2 + S81* $H$2)*EXP($H$1*$F$1/$L$1)</f>
        <v>2.6508212964375688</v>
      </c>
      <c r="T79" s="18">
        <f>(U77* $F$2 + U81* $H$2)*EXP($H$1*$F$1/$L$1)</f>
        <v>2.6490315617686324</v>
      </c>
      <c r="V79" s="18">
        <f>(W77* $F$2 + W81* $H$2)*EXP($H$1*$F$1/$L$1)</f>
        <v>2.6472424160346955</v>
      </c>
      <c r="X79" s="18">
        <f>(Y77* $F$2 + Y81* $H$2)*EXP($H$1*$F$1/$L$1)</f>
        <v>2.6454538585272647</v>
      </c>
      <c r="Z79" s="18">
        <f>(AA77* $F$2 + AA81* $H$2)*EXP($H$1*$F$1/$L$1)</f>
        <v>2.6436658889591858</v>
      </c>
      <c r="AB79" s="18">
        <f>(AC77* $F$2 + AC81* $H$2)*EXP($H$1*$F$1/$L$1)</f>
        <v>2.6418785071549222</v>
      </c>
      <c r="AD79" s="18">
        <f>(AE77* $F$2 + AE81* $H$2)*EXP($H$1*$F$1/$L$1)</f>
        <v>2.640091712949951</v>
      </c>
      <c r="AF79" s="18">
        <f>(AG77* $F$2 + AG81* $H$2)*EXP($H$1*$F$1/$L$1)</f>
        <v>2.63830550617979</v>
      </c>
      <c r="AH79" s="18">
        <f>(AI77* $F$2 + AI81* $H$2)*EXP($H$1*$F$1/$L$1)</f>
        <v>2.6365198866800013</v>
      </c>
      <c r="AJ79" s="18">
        <f>(AK77* $F$2 + AK81* $H$2)*EXP($H$1*$F$1/$L$1)</f>
        <v>2.6347348542861888</v>
      </c>
      <c r="AL79" s="18">
        <f>(AM77* $F$2 + AM81* $H$2)*EXP($H$1*$F$1/$L$1)</f>
        <v>2.6329504088340014</v>
      </c>
      <c r="AN79" s="18">
        <f>(AO77* $F$2 + AO81* $H$2)*EXP($H$1*$F$1/$L$1)</f>
        <v>2.6311665501591319</v>
      </c>
      <c r="AP79" s="18">
        <f>(AQ77* $F$2 + AQ81* $H$2)*EXP($H$1*$F$1/$L$1)</f>
        <v>2.6293832780973139</v>
      </c>
      <c r="AR79" s="18">
        <f>(AS77* $F$2 + AS81* $H$2)*EXP($H$1*$F$1/$L$1)</f>
        <v>2.6276005924843253</v>
      </c>
      <c r="AT79" s="18">
        <f>(AU77* $F$2 + AU81* $H$2)*EXP($H$1*$F$1/$L$1)</f>
        <v>2.6258184931559887</v>
      </c>
      <c r="AV79" s="18">
        <f>(AW77* $F$2 + AW81* $H$2)*EXP($H$1*$F$1/$L$1)</f>
        <v>2.6240369799481673</v>
      </c>
      <c r="AX79" s="18">
        <f>(AY77* $F$2 + AY81* $H$2)*EXP($H$1*$F$1/$L$1)</f>
        <v>2.6222560526967702</v>
      </c>
    </row>
    <row r="80" spans="17:51" x14ac:dyDescent="0.15">
      <c r="Q80">
        <v>11.51909910168907</v>
      </c>
      <c r="S80">
        <v>11.51909910168907</v>
      </c>
      <c r="U80">
        <v>11.519099101689072</v>
      </c>
      <c r="W80">
        <v>11.519099101689072</v>
      </c>
      <c r="Y80">
        <v>11.51909910168907</v>
      </c>
      <c r="AA80">
        <v>11.51909910168907</v>
      </c>
      <c r="AC80">
        <v>11.519099101689072</v>
      </c>
      <c r="AE80">
        <v>11.519099101689072</v>
      </c>
      <c r="AG80">
        <v>11.519099101689072</v>
      </c>
      <c r="AI80">
        <v>11.519099101689074</v>
      </c>
      <c r="AK80">
        <v>11.519099101689074</v>
      </c>
      <c r="AM80">
        <v>11.519099101689074</v>
      </c>
      <c r="AO80">
        <v>11.519099101689076</v>
      </c>
      <c r="AQ80">
        <v>11.519099101689074</v>
      </c>
      <c r="AS80">
        <v>11.519099101689074</v>
      </c>
      <c r="AU80">
        <v>11.519099101689076</v>
      </c>
      <c r="AW80">
        <v>11.519099101689077</v>
      </c>
      <c r="AY80">
        <v>11.519099101689077</v>
      </c>
    </row>
    <row r="81" spans="9:51" x14ac:dyDescent="0.15">
      <c r="Q81" s="18">
        <f>(R79* $F$2 + R83* $H$2)*EXP($H$1*$F$1/$L$1)</f>
        <v>2.5490141251728948</v>
      </c>
      <c r="S81" s="18">
        <f>(T79* $F$2 + T83* $H$2)*EXP($H$1*$F$1/$L$1)</f>
        <v>2.5472497637563101</v>
      </c>
      <c r="U81" s="18">
        <f>(V79* $F$2 + V83* $H$2)*EXP($H$1*$F$1/$L$1)</f>
        <v>2.5454859884244048</v>
      </c>
      <c r="W81" s="18">
        <f>(X79* $F$2 + X83* $H$2)*EXP($H$1*$F$1/$L$1)</f>
        <v>2.543722796142037</v>
      </c>
      <c r="Y81" s="18">
        <f>(Z79* $F$2 + Z83* $H$2)*EXP($H$1*$F$1/$L$1)</f>
        <v>2.5419601857184912</v>
      </c>
      <c r="AA81" s="18">
        <f>(AB79* $F$2 + AB83* $H$2)*EXP($H$1*$F$1/$L$1)</f>
        <v>2.5401981567505532</v>
      </c>
      <c r="AC81" s="18">
        <f>(AD79* $F$2 + AD83* $H$2)*EXP($H$1*$F$1/$L$1)</f>
        <v>2.5384367090532911</v>
      </c>
      <c r="AE81" s="18">
        <f>(AF79* $F$2 + AF83* $H$2)*EXP($H$1*$F$1/$L$1)</f>
        <v>2.5366758424638043</v>
      </c>
      <c r="AG81" s="18">
        <f>(AH79* $F$2 + AH83* $H$2)*EXP($H$1*$F$1/$L$1)</f>
        <v>2.534915556819235</v>
      </c>
      <c r="AI81" s="18">
        <f>(AJ79* $F$2 + AJ83* $H$2)*EXP($H$1*$F$1/$L$1)</f>
        <v>2.5331558519567672</v>
      </c>
      <c r="AK81" s="18">
        <f>(AL79* $F$2 + AL83* $H$2)*EXP($H$1*$F$1/$L$1)</f>
        <v>2.5313967277136302</v>
      </c>
      <c r="AM81" s="18">
        <f>(AN79* $F$2 + AN83* $H$2)*EXP($H$1*$F$1/$L$1)</f>
        <v>2.5296381839270947</v>
      </c>
      <c r="AO81" s="18">
        <f>(AP79* $F$2 + AP83* $H$2)*EXP($H$1*$F$1/$L$1)</f>
        <v>2.5278802204344739</v>
      </c>
      <c r="AQ81" s="18">
        <f>(AR79* $F$2 + AR83* $H$2)*EXP($H$1*$F$1/$L$1)</f>
        <v>2.526122837073125</v>
      </c>
      <c r="AS81" s="18">
        <f>(AT79* $F$2 + AT83* $H$2)*EXP($H$1*$F$1/$L$1)</f>
        <v>2.524366033680447</v>
      </c>
      <c r="AU81" s="18">
        <f>(AV79* $F$2 + AV83* $H$2)*EXP($H$1*$F$1/$L$1)</f>
        <v>2.5226098100938823</v>
      </c>
      <c r="AW81" s="18">
        <f>(AX79* $F$2 + AX83* $H$2)*EXP($H$1*$F$1/$L$1)</f>
        <v>2.5208541661509165</v>
      </c>
      <c r="AY81" s="16">
        <f>MAX(AY80 - $J$1, 0)</f>
        <v>2.5190991016890774</v>
      </c>
    </row>
    <row r="82" spans="9:51" x14ac:dyDescent="0.15">
      <c r="P82">
        <v>11.417732330100934</v>
      </c>
      <c r="R82">
        <v>11.417732330100934</v>
      </c>
      <c r="T82">
        <v>11.417732330100936</v>
      </c>
      <c r="V82">
        <v>11.417732330100936</v>
      </c>
      <c r="X82">
        <v>11.417732330100934</v>
      </c>
      <c r="Z82">
        <v>11.417732330100934</v>
      </c>
      <c r="AB82">
        <v>11.417732330100936</v>
      </c>
      <c r="AD82">
        <v>11.417732330100938</v>
      </c>
      <c r="AF82">
        <v>11.417732330100938</v>
      </c>
      <c r="AH82">
        <v>11.417732330100938</v>
      </c>
      <c r="AJ82">
        <v>11.417732330100938</v>
      </c>
      <c r="AL82">
        <v>11.417732330100938</v>
      </c>
      <c r="AN82">
        <v>11.417732330100939</v>
      </c>
      <c r="AP82">
        <v>11.417732330100938</v>
      </c>
      <c r="AR82">
        <v>11.417732330100939</v>
      </c>
      <c r="AT82">
        <v>11.417732330100939</v>
      </c>
      <c r="AV82">
        <v>11.417732330100939</v>
      </c>
      <c r="AX82">
        <v>11.417732330100939</v>
      </c>
    </row>
    <row r="83" spans="9:51" x14ac:dyDescent="0.15">
      <c r="P83" s="18">
        <f>(Q81* $F$2 + Q85* $H$2)*EXP($H$1*$F$1/$L$1)</f>
        <v>2.4480853344772076</v>
      </c>
      <c r="R83" s="18">
        <f>(S81* $F$2 + S85* $H$2)*EXP($H$1*$F$1/$L$1)</f>
        <v>2.4463461081381128</v>
      </c>
      <c r="T83" s="18">
        <f>(U81* $F$2 + U85* $H$2)*EXP($H$1*$F$1/$L$1)</f>
        <v>2.4446074760263392</v>
      </c>
      <c r="V83" s="18">
        <f>(W81* $F$2 + W85* $H$2)*EXP($H$1*$F$1/$L$1)</f>
        <v>2.442869427060316</v>
      </c>
      <c r="X83" s="18">
        <f>(Y81* $F$2 + Y85* $H$2)*EXP($H$1*$F$1/$L$1)</f>
        <v>2.4411319558662599</v>
      </c>
      <c r="Z83" s="18">
        <f>(AA81* $F$2 + AA85* $H$2)*EXP($H$1*$F$1/$L$1)</f>
        <v>2.4393950603452357</v>
      </c>
      <c r="AB83" s="18">
        <f>(AC81* $F$2 + AC85* $H$2)*EXP($H$1*$F$1/$L$1)</f>
        <v>2.4376587398651952</v>
      </c>
      <c r="AD83" s="18">
        <f>(AE81* $F$2 + AE85* $H$2)*EXP($H$1*$F$1/$L$1)</f>
        <v>2.4359229942207099</v>
      </c>
      <c r="AF83" s="18">
        <f>(AG81* $F$2 + AG85* $H$2)*EXP($H$1*$F$1/$L$1)</f>
        <v>2.434187823250491</v>
      </c>
      <c r="AH83" s="18">
        <f>(AI81* $F$2 + AI85* $H$2)*EXP($H$1*$F$1/$L$1)</f>
        <v>2.4324532267932883</v>
      </c>
      <c r="AJ83" s="18">
        <f>(AK81* $F$2 + AK85* $H$2)*EXP($H$1*$F$1/$L$1)</f>
        <v>2.4307192046878958</v>
      </c>
      <c r="AL83" s="18">
        <f>(AM81* $F$2 + AM85* $H$2)*EXP($H$1*$F$1/$L$1)</f>
        <v>2.4289857567731508</v>
      </c>
      <c r="AN83" s="18">
        <f>(AO81* $F$2 + AO85* $H$2)*EXP($H$1*$F$1/$L$1)</f>
        <v>2.4272528828879318</v>
      </c>
      <c r="AP83" s="18">
        <f>(AQ81* $F$2 + AQ85* $H$2)*EXP($H$1*$F$1/$L$1)</f>
        <v>2.4255205828711603</v>
      </c>
      <c r="AR83" s="18">
        <f>(AS81* $F$2 + AS85* $H$2)*EXP($H$1*$F$1/$L$1)</f>
        <v>2.4237888565618002</v>
      </c>
      <c r="AT83" s="18">
        <f>(AU81* $F$2 + AU85* $H$2)*EXP($H$1*$F$1/$L$1)</f>
        <v>2.422057703798858</v>
      </c>
      <c r="AV83" s="18">
        <f>(AW81* $F$2 + AW85* $H$2)*EXP($H$1*$F$1/$L$1)</f>
        <v>2.4203271244213824</v>
      </c>
      <c r="AX83" s="18">
        <f>(AY81* $F$2 + AY85* $H$2)*EXP($H$1*$F$1/$L$1)</f>
        <v>2.4185971182684645</v>
      </c>
    </row>
    <row r="84" spans="9:51" x14ac:dyDescent="0.15">
      <c r="O84">
        <v>11.317257574658461</v>
      </c>
      <c r="Q84">
        <v>11.317257574658463</v>
      </c>
      <c r="S84">
        <v>11.317257574658463</v>
      </c>
      <c r="U84">
        <v>11.317257574658464</v>
      </c>
      <c r="W84">
        <v>11.317257574658463</v>
      </c>
      <c r="Y84">
        <v>11.317257574658463</v>
      </c>
      <c r="AA84">
        <v>11.317257574658463</v>
      </c>
      <c r="AC84">
        <v>11.317257574658464</v>
      </c>
      <c r="AE84">
        <v>11.317257574658464</v>
      </c>
      <c r="AG84">
        <v>11.317257574658466</v>
      </c>
      <c r="AI84">
        <v>11.317257574658464</v>
      </c>
      <c r="AK84">
        <v>11.317257574658466</v>
      </c>
      <c r="AM84">
        <v>11.317257574658466</v>
      </c>
      <c r="AO84">
        <v>11.317257574658466</v>
      </c>
      <c r="AQ84">
        <v>11.317257574658466</v>
      </c>
      <c r="AS84">
        <v>11.317257574658466</v>
      </c>
      <c r="AU84">
        <v>11.317257574658468</v>
      </c>
      <c r="AW84">
        <v>11.317257574658468</v>
      </c>
      <c r="AY84">
        <v>11.31725757465847</v>
      </c>
    </row>
    <row r="85" spans="9:51" x14ac:dyDescent="0.15">
      <c r="O85" s="18">
        <f>(P83* $F$2 + P87* $H$2)*EXP($H$1*$F$1/$L$1)</f>
        <v>2.3480273929553253</v>
      </c>
      <c r="Q85" s="18">
        <f>(R83* $F$2 + R87* $H$2)*EXP($H$1*$F$1/$L$1)</f>
        <v>2.3463130182393463</v>
      </c>
      <c r="S85" s="18">
        <f>(T83* $F$2 + T87* $H$2)*EXP($H$1*$F$1/$L$1)</f>
        <v>2.3445992786135159</v>
      </c>
      <c r="U85" s="18">
        <f>(V83* $F$2 + V87* $H$2)*EXP($H$1*$F$1/$L$1)</f>
        <v>2.3428861413264745</v>
      </c>
      <c r="W85" s="18">
        <f>(X83* $F$2 + X87* $H$2)*EXP($H$1*$F$1/$L$1)</f>
        <v>2.3411735872088224</v>
      </c>
      <c r="Y85" s="18">
        <f>(Z83* $F$2 + Z87* $H$2)*EXP($H$1*$F$1/$L$1)</f>
        <v>2.3394616066821392</v>
      </c>
      <c r="AA85" s="18">
        <f>(AB83* $F$2 + AB87* $H$2)*EXP($H$1*$F$1/$L$1)</f>
        <v>2.337750195943014</v>
      </c>
      <c r="AC85" s="18">
        <f>(AD83* $F$2 + AD87* $H$2)*EXP($H$1*$F$1/$L$1)</f>
        <v>2.3360393539099822</v>
      </c>
      <c r="AE85" s="18">
        <f>(AF83* $F$2 + AF87* $H$2)*EXP($H$1*$F$1/$L$1)</f>
        <v>2.3343290803348911</v>
      </c>
      <c r="AG85" s="18">
        <f>(AH83* $F$2 + AH87* $H$2)*EXP($H$1*$F$1/$L$1)</f>
        <v>2.3326193750580444</v>
      </c>
      <c r="AI85" s="18">
        <f>(AJ83* $F$2 + AJ87* $H$2)*EXP($H$1*$F$1/$L$1)</f>
        <v>2.3309102379197886</v>
      </c>
      <c r="AK85" s="18">
        <f>(AL83* $F$2 + AL87* $H$2)*EXP($H$1*$F$1/$L$1)</f>
        <v>2.3292016687605117</v>
      </c>
      <c r="AM85" s="18">
        <f>(AN83* $F$2 + AN87* $H$2)*EXP($H$1*$F$1/$L$1)</f>
        <v>2.3274936674206455</v>
      </c>
      <c r="AO85" s="18">
        <f>(AP83* $F$2 + AP87* $H$2)*EXP($H$1*$F$1/$L$1)</f>
        <v>2.325786233740661</v>
      </c>
      <c r="AQ85" s="18">
        <f>(AR83* $F$2 + AR87* $H$2)*EXP($H$1*$F$1/$L$1)</f>
        <v>2.3240793675610747</v>
      </c>
      <c r="AS85" s="18">
        <f>(AT83* $F$2 + AT87* $H$2)*EXP($H$1*$F$1/$L$1)</f>
        <v>2.3223730687224426</v>
      </c>
      <c r="AU85" s="18">
        <f>(AV83* $F$2 + AV87* $H$2)*EXP($H$1*$F$1/$L$1)</f>
        <v>2.3206673370653634</v>
      </c>
      <c r="AW85" s="18">
        <f>(AX83* $F$2 + AX87* $H$2)*EXP($H$1*$F$1/$L$1)</f>
        <v>2.3189621724304783</v>
      </c>
      <c r="AY85" s="16">
        <f>MAX(AY84 - $J$1, 0)</f>
        <v>2.3172575746584698</v>
      </c>
    </row>
    <row r="86" spans="9:51" x14ac:dyDescent="0.15">
      <c r="N86">
        <v>11.217666985720278</v>
      </c>
      <c r="P86">
        <v>11.21766698572028</v>
      </c>
      <c r="R86">
        <v>11.21766698572028</v>
      </c>
      <c r="T86">
        <v>11.21766698572028</v>
      </c>
      <c r="V86">
        <v>11.217666985720282</v>
      </c>
      <c r="X86">
        <v>11.21766698572028</v>
      </c>
      <c r="Z86">
        <v>11.217666985720282</v>
      </c>
      <c r="AB86">
        <v>11.217666985720282</v>
      </c>
      <c r="AD86">
        <v>11.217666985720284</v>
      </c>
      <c r="AF86">
        <v>11.217666985720284</v>
      </c>
      <c r="AH86">
        <v>11.217666985720282</v>
      </c>
      <c r="AJ86">
        <v>11.217666985720284</v>
      </c>
      <c r="AL86">
        <v>11.217666985720284</v>
      </c>
      <c r="AN86">
        <v>11.217666985720284</v>
      </c>
      <c r="AP86">
        <v>11.217666985720284</v>
      </c>
      <c r="AR86">
        <v>11.217666985720285</v>
      </c>
      <c r="AT86">
        <v>11.217666985720287</v>
      </c>
      <c r="AV86">
        <v>11.217666985720285</v>
      </c>
      <c r="AX86">
        <v>11.217666985720287</v>
      </c>
    </row>
    <row r="87" spans="9:51" x14ac:dyDescent="0.15">
      <c r="N87" s="18">
        <f>(O85* $F$2 + O89* $H$2)*EXP($H$1*$F$1/$L$1)</f>
        <v>2.2488330295935568</v>
      </c>
      <c r="P87" s="18">
        <f>(Q85* $F$2 + Q89* $H$2)*EXP($H$1*$F$1/$L$1)</f>
        <v>2.2471430969272004</v>
      </c>
      <c r="R87" s="18">
        <f>(S85* $F$2 + S89* $H$2)*EXP($H$1*$F$1/$L$1)</f>
        <v>2.2454539208481656</v>
      </c>
      <c r="T87" s="18">
        <f>(U85* $F$2 + U89* $H$2)*EXP($H$1*$F$1/$L$1)</f>
        <v>2.2437654208598086</v>
      </c>
      <c r="V87" s="18">
        <f>(W85* $F$2 + W89* $H$2)*EXP($H$1*$F$1/$L$1)</f>
        <v>2.2420775424298522</v>
      </c>
      <c r="X87" s="18">
        <f>(Y85* $F$2 + Y89* $H$2)*EXP($H$1*$F$1/$L$1)</f>
        <v>2.2403902525223218</v>
      </c>
      <c r="Z87" s="18">
        <f>(AA85* $F$2 + AA89* $H$2)*EXP($H$1*$F$1/$L$1)</f>
        <v>2.238703534040738</v>
      </c>
      <c r="AB87" s="18">
        <f>(AC85* $F$2 + AC89* $H$2)*EXP($H$1*$F$1/$L$1)</f>
        <v>2.2370173799939392</v>
      </c>
      <c r="AD87" s="18">
        <f>(AE85* $F$2 + AE89* $H$2)*EXP($H$1*$F$1/$L$1)</f>
        <v>2.2353317884199031</v>
      </c>
      <c r="AF87" s="18">
        <f>(AG85* $F$2 + AG89* $H$2)*EXP($H$1*$F$1/$L$1)</f>
        <v>2.233646758983181</v>
      </c>
      <c r="AH87" s="18">
        <f>(AI85* $F$2 + AI89* $H$2)*EXP($H$1*$F$1/$L$1)</f>
        <v>2.2319622915256589</v>
      </c>
      <c r="AJ87" s="18">
        <f>(AK85* $F$2 + AK89* $H$2)*EXP($H$1*$F$1/$L$1)</f>
        <v>2.2302783858892639</v>
      </c>
      <c r="AL87" s="18">
        <f>(AM85* $F$2 + AM89* $H$2)*EXP($H$1*$F$1/$L$1)</f>
        <v>2.2285950419159644</v>
      </c>
      <c r="AN87" s="18">
        <f>(AO85* $F$2 + AO89* $H$2)*EXP($H$1*$F$1/$L$1)</f>
        <v>2.2269122594477717</v>
      </c>
      <c r="AP87" s="18">
        <f>(AQ85* $F$2 + AQ89* $H$2)*EXP($H$1*$F$1/$L$1)</f>
        <v>2.2252300383267372</v>
      </c>
      <c r="AR87" s="18">
        <f>(AS85* $F$2 + AS89* $H$2)*EXP($H$1*$F$1/$L$1)</f>
        <v>2.2235483783949554</v>
      </c>
      <c r="AT87" s="18">
        <f>(AU85* $F$2 + AU89* $H$2)*EXP($H$1*$F$1/$L$1)</f>
        <v>2.2218672794945613</v>
      </c>
      <c r="AV87" s="18">
        <f>(AW85* $F$2 + AW89* $H$2)*EXP($H$1*$F$1/$L$1)</f>
        <v>2.2201867414677321</v>
      </c>
      <c r="AX87" s="18">
        <f>(AY85* $F$2 + AY89* $H$2)*EXP($H$1*$F$1/$L$1)</f>
        <v>2.2185067641566865</v>
      </c>
    </row>
    <row r="88" spans="9:51" x14ac:dyDescent="0.15">
      <c r="M88">
        <v>11.118952782720973</v>
      </c>
      <c r="O88">
        <v>11.118952782720971</v>
      </c>
      <c r="Q88">
        <v>11.118952782720974</v>
      </c>
      <c r="S88">
        <v>11.118952782720973</v>
      </c>
      <c r="U88">
        <v>11.118952782720974</v>
      </c>
      <c r="W88">
        <v>11.118952782720974</v>
      </c>
      <c r="Y88">
        <v>11.118952782720974</v>
      </c>
      <c r="AA88">
        <v>11.118952782720973</v>
      </c>
      <c r="AC88">
        <v>11.118952782720974</v>
      </c>
      <c r="AE88">
        <v>11.118952782720976</v>
      </c>
      <c r="AG88">
        <v>11.118952782720976</v>
      </c>
      <c r="AI88">
        <v>11.118952782720976</v>
      </c>
      <c r="AK88">
        <v>11.118952782720978</v>
      </c>
      <c r="AM88">
        <v>11.118952782720976</v>
      </c>
      <c r="AO88">
        <v>11.118952782720978</v>
      </c>
      <c r="AQ88">
        <v>11.118952782720978</v>
      </c>
      <c r="AS88">
        <v>11.118952782720978</v>
      </c>
      <c r="AU88">
        <v>11.118952782720978</v>
      </c>
      <c r="AW88">
        <v>11.11895278272098</v>
      </c>
      <c r="AY88">
        <v>11.11895278272098</v>
      </c>
    </row>
    <row r="89" spans="9:51" x14ac:dyDescent="0.15">
      <c r="M89" s="18">
        <f>(N87* $F$2 + N91* $H$2)*EXP($H$1*$F$1/$L$1)</f>
        <v>2.1504955324597588</v>
      </c>
      <c r="O89" s="18">
        <f>(P87* $F$2 + P91* $H$2)*EXP($H$1*$F$1/$L$1)</f>
        <v>2.1488293358653747</v>
      </c>
      <c r="Q89" s="18">
        <f>(R87* $F$2 + R91* $H$2)*EXP($H$1*$F$1/$L$1)</f>
        <v>2.1471641870211884</v>
      </c>
      <c r="S89" s="18">
        <f>(T87* $F$2 + T91* $H$2)*EXP($H$1*$F$1/$L$1)</f>
        <v>2.1454999168127631</v>
      </c>
      <c r="U89" s="18">
        <f>(V87* $F$2 + V91* $H$2)*EXP($H$1*$F$1/$L$1)</f>
        <v>2.143836396754363</v>
      </c>
      <c r="W89" s="18">
        <f>(X87* $F$2 + X91* $H$2)*EXP($H$1*$F$1/$L$1)</f>
        <v>2.142173536769616</v>
      </c>
      <c r="Y89" s="18">
        <f>(Z87* $F$2 + Z91* $H$2)*EXP($H$1*$F$1/$L$1)</f>
        <v>2.1405112802443966</v>
      </c>
      <c r="AA89" s="18">
        <f>(AB87* $F$2 + AB91* $H$2)*EXP($H$1*$F$1/$L$1)</f>
        <v>2.1388495967206089</v>
      </c>
      <c r="AC89" s="18">
        <f>(AD87* $F$2 + AD91* $H$2)*EXP($H$1*$F$1/$L$1)</f>
        <v>2.1371884732668445</v>
      </c>
      <c r="AE89" s="18">
        <f>(AF87* $F$2 + AF91* $H$2)*EXP($H$1*$F$1/$L$1)</f>
        <v>2.1355279061983419</v>
      </c>
      <c r="AG89" s="18">
        <f>(AH87* $F$2 + AH91* $H$2)*EXP($H$1*$F$1/$L$1)</f>
        <v>2.1338678950030099</v>
      </c>
      <c r="AI89" s="18">
        <f>(AJ87* $F$2 + AJ91* $H$2)*EXP($H$1*$F$1/$L$1)</f>
        <v>2.1322084395243013</v>
      </c>
      <c r="AK89" s="18">
        <f>(AL87* $F$2 + AL91* $H$2)*EXP($H$1*$F$1/$L$1)</f>
        <v>2.1305495396057097</v>
      </c>
      <c r="AM89" s="18">
        <f>(AN87* $F$2 + AN91* $H$2)*EXP($H$1*$F$1/$L$1)</f>
        <v>2.1288911950907701</v>
      </c>
      <c r="AO89" s="18">
        <f>(AP87* $F$2 + AP91* $H$2)*EXP($H$1*$F$1/$L$1)</f>
        <v>2.1272334058230586</v>
      </c>
      <c r="AQ89" s="18">
        <f>(AR87* $F$2 + AR91* $H$2)*EXP($H$1*$F$1/$L$1)</f>
        <v>2.1255761716461925</v>
      </c>
      <c r="AS89" s="18">
        <f>(AT87* $F$2 + AT91* $H$2)*EXP($H$1*$F$1/$L$1)</f>
        <v>2.1239194924038314</v>
      </c>
      <c r="AU89" s="18">
        <f>(AV87* $F$2 + AV91* $H$2)*EXP($H$1*$F$1/$L$1)</f>
        <v>2.1222633679396741</v>
      </c>
      <c r="AW89" s="18">
        <f>(AX87* $F$2 + AX91* $H$2)*EXP($H$1*$F$1/$L$1)</f>
        <v>2.1206077980974625</v>
      </c>
      <c r="AY89" s="16">
        <f>MAX(AY88 - $J$1, 0)</f>
        <v>2.1189527827209798</v>
      </c>
    </row>
    <row r="90" spans="9:51" x14ac:dyDescent="0.15">
      <c r="L90">
        <v>11.021107253563221</v>
      </c>
      <c r="N90">
        <v>11.021107253563221</v>
      </c>
      <c r="P90">
        <v>11.021107253563223</v>
      </c>
      <c r="R90">
        <v>11.021107253563223</v>
      </c>
      <c r="T90">
        <v>11.021107253563223</v>
      </c>
      <c r="V90">
        <v>11.021107253563223</v>
      </c>
      <c r="X90">
        <v>11.021107253563223</v>
      </c>
      <c r="Z90">
        <v>11.021107253563223</v>
      </c>
      <c r="AB90">
        <v>11.021107253563223</v>
      </c>
      <c r="AD90">
        <v>11.021107253563226</v>
      </c>
      <c r="AF90">
        <v>11.021107253563224</v>
      </c>
      <c r="AH90">
        <v>11.021107253563224</v>
      </c>
      <c r="AJ90">
        <v>11.021107253563228</v>
      </c>
      <c r="AL90">
        <v>11.021107253563224</v>
      </c>
      <c r="AN90">
        <v>11.021107253563226</v>
      </c>
      <c r="AP90">
        <v>11.021107253563226</v>
      </c>
      <c r="AR90">
        <v>11.021107253563228</v>
      </c>
      <c r="AT90">
        <v>11.021107253563228</v>
      </c>
      <c r="AV90">
        <v>11.021107253563228</v>
      </c>
      <c r="AX90">
        <v>11.021107253563228</v>
      </c>
    </row>
    <row r="91" spans="9:51" x14ac:dyDescent="0.15">
      <c r="L91" s="18">
        <f>(M89* $F$2 + M93* $H$2)*EXP($H$1*$F$1/$L$1)</f>
        <v>2.0530093616902794</v>
      </c>
      <c r="N91" s="18">
        <f>(O89* $F$2 + O93* $H$2)*EXP($H$1*$F$1/$L$1)</f>
        <v>2.0513655860175066</v>
      </c>
      <c r="P91" s="18">
        <f>(Q89* $F$2 + Q93* $H$2)*EXP($H$1*$F$1/$L$1)</f>
        <v>2.0497234605386478</v>
      </c>
      <c r="R91" s="18">
        <f>(S89* $F$2 + S93* $H$2)*EXP($H$1*$F$1/$L$1)</f>
        <v>2.048082675389872</v>
      </c>
      <c r="T91" s="18">
        <f>(U89* $F$2 + U93* $H$2)*EXP($H$1*$F$1/$L$1)</f>
        <v>2.0464429723888999</v>
      </c>
      <c r="V91" s="18">
        <f>(W89* $F$2 + W93* $H$2)*EXP($H$1*$F$1/$L$1)</f>
        <v>2.0448041487193782</v>
      </c>
      <c r="X91" s="18">
        <f>(Y89* $F$2 + Y93* $H$2)*EXP($H$1*$F$1/$L$1)</f>
        <v>2.0431660569724976</v>
      </c>
      <c r="Z91" s="18">
        <f>(AA89* $F$2 + AA93* $H$2)*EXP($H$1*$F$1/$L$1)</f>
        <v>2.0415286008134403</v>
      </c>
      <c r="AB91" s="18">
        <f>(AC89* $F$2 + AC93* $H$2)*EXP($H$1*$F$1/$L$1)</f>
        <v>2.0398917261962053</v>
      </c>
      <c r="AD91" s="18">
        <f>(AE89* $F$2 + AE93* $H$2)*EXP($H$1*$F$1/$L$1)</f>
        <v>2.0382554091632827</v>
      </c>
      <c r="AF91" s="18">
        <f>(AG89* $F$2 + AG93* $H$2)*EXP($H$1*$F$1/$L$1)</f>
        <v>2.036619642663251</v>
      </c>
      <c r="AH91" s="18">
        <f>(AI89* $F$2 + AI93* $H$2)*EXP($H$1*$F$1/$L$1)</f>
        <v>2.0349844258282248</v>
      </c>
      <c r="AJ91" s="18">
        <f>(AK89* $F$2 + AK93* $H$2)*EXP($H$1*$F$1/$L$1)</f>
        <v>2.0333497585032085</v>
      </c>
      <c r="AL91" s="18">
        <f>(AM89* $F$2 + AM93* $H$2)*EXP($H$1*$F$1/$L$1)</f>
        <v>2.0317156405332493</v>
      </c>
      <c r="AN91" s="18">
        <f>(AO89* $F$2 + AO93* $H$2)*EXP($H$1*$F$1/$L$1)</f>
        <v>2.0300820717634336</v>
      </c>
      <c r="AP91" s="18">
        <f>(AQ89* $F$2 + AQ93* $H$2)*EXP($H$1*$F$1/$L$1)</f>
        <v>2.0284490520388894</v>
      </c>
      <c r="AR91" s="18">
        <f>(AS89* $F$2 + AS93* $H$2)*EXP($H$1*$F$1/$L$1)</f>
        <v>2.0268165812047862</v>
      </c>
      <c r="AT91" s="18">
        <f>(AU89* $F$2 + AU93* $H$2)*EXP($H$1*$F$1/$L$1)</f>
        <v>2.0251846591063329</v>
      </c>
      <c r="AV91" s="18">
        <f>(AW89* $F$2 + AW93* $H$2)*EXP($H$1*$F$1/$L$1)</f>
        <v>2.0235532855887808</v>
      </c>
      <c r="AX91" s="18">
        <f>(AY89* $F$2 + AY93* $H$2)*EXP($H$1*$F$1/$L$1)</f>
        <v>2.0219224604974215</v>
      </c>
    </row>
    <row r="92" spans="9:51" x14ac:dyDescent="0.15">
      <c r="K92">
        <v>10.924122754015295</v>
      </c>
      <c r="M92">
        <v>10.924122754015295</v>
      </c>
      <c r="O92">
        <v>10.924122754015295</v>
      </c>
      <c r="Q92">
        <v>10.924122754015297</v>
      </c>
      <c r="S92">
        <v>10.924122754015295</v>
      </c>
      <c r="U92">
        <v>10.924122754015297</v>
      </c>
      <c r="W92">
        <v>10.924122754015297</v>
      </c>
      <c r="Y92">
        <v>10.924122754015297</v>
      </c>
      <c r="AA92">
        <v>10.924122754015295</v>
      </c>
      <c r="AC92">
        <v>10.924122754015299</v>
      </c>
      <c r="AE92">
        <v>10.924122754015297</v>
      </c>
      <c r="AG92">
        <v>10.924122754015299</v>
      </c>
      <c r="AI92">
        <v>10.924122754015301</v>
      </c>
      <c r="AK92">
        <v>10.924122754015299</v>
      </c>
      <c r="AM92">
        <v>10.924122754015299</v>
      </c>
      <c r="AO92">
        <v>10.924122754015301</v>
      </c>
      <c r="AQ92">
        <v>10.924122754015301</v>
      </c>
      <c r="AS92">
        <v>10.924122754015301</v>
      </c>
      <c r="AU92">
        <v>10.924122754015302</v>
      </c>
      <c r="AW92">
        <v>10.924122754015302</v>
      </c>
      <c r="AY92">
        <v>10.924122754015302</v>
      </c>
    </row>
    <row r="93" spans="9:51" x14ac:dyDescent="0.15">
      <c r="K93" s="18">
        <f>(L91* $F$2 + L95* $H$2)*EXP($H$1*$F$1/$L$1)</f>
        <v>1.9563712734554604</v>
      </c>
      <c r="M93" s="18">
        <f>(N91* $F$2 + N95* $H$2)*EXP($H$1*$F$1/$L$1)</f>
        <v>1.9547474865154677</v>
      </c>
      <c r="O93" s="18">
        <f>(P91* $F$2 + P95* $H$2)*EXP($H$1*$F$1/$L$1)</f>
        <v>1.9531264570042826</v>
      </c>
      <c r="Q93" s="18">
        <f>(R91* $F$2 + R95* $H$2)*EXP($H$1*$F$1/$L$1)</f>
        <v>1.9515076831275353</v>
      </c>
      <c r="S93" s="18">
        <f>(T91* $F$2 + T95* $H$2)*EXP($H$1*$F$1/$L$1)</f>
        <v>1.9498907135623731</v>
      </c>
      <c r="U93" s="18">
        <f>(V91* $F$2 + V95* $H$2)*EXP($H$1*$F$1/$L$1)</f>
        <v>1.9482751597726387</v>
      </c>
      <c r="W93" s="18">
        <f>(X91* $F$2 + X95* $H$2)*EXP($H$1*$F$1/$L$1)</f>
        <v>1.9466607056278984</v>
      </c>
      <c r="Y93" s="18">
        <f>(Z91* $F$2 + Z95* $H$2)*EXP($H$1*$F$1/$L$1)</f>
        <v>1.9450471124603121</v>
      </c>
      <c r="AA93" s="18">
        <f>(AB91* $F$2 + AB95* $H$2)*EXP($H$1*$F$1/$L$1)</f>
        <v>1.9434342177201009</v>
      </c>
      <c r="AC93" s="18">
        <f>(AD91* $F$2 + AD95* $H$2)*EXP($H$1*$F$1/$L$1)</f>
        <v>1.9418219260348082</v>
      </c>
      <c r="AE93" s="18">
        <f>(AF91* $F$2 + AF95* $H$2)*EXP($H$1*$F$1/$L$1)</f>
        <v>1.9402101930693731</v>
      </c>
      <c r="AG93" s="18">
        <f>(AH91* $F$2 + AH95* $H$2)*EXP($H$1*$F$1/$L$1)</f>
        <v>1.9385990051991537</v>
      </c>
      <c r="AI93" s="18">
        <f>(AJ91* $F$2 + AJ95* $H$2)*EXP($H$1*$F$1/$L$1)</f>
        <v>1.9369883608412519</v>
      </c>
      <c r="AK93" s="18">
        <f>(AL91* $F$2 + AL95* $H$2)*EXP($H$1*$F$1/$L$1)</f>
        <v>1.9353782598422122</v>
      </c>
      <c r="AM93" s="18">
        <f>(AN91* $F$2 + AN95* $H$2)*EXP($H$1*$F$1/$L$1)</f>
        <v>1.9337687020486194</v>
      </c>
      <c r="AO93" s="18">
        <f>(AP91* $F$2 + AP95* $H$2)*EXP($H$1*$F$1/$L$1)</f>
        <v>1.9321596873070983</v>
      </c>
      <c r="AQ93" s="18">
        <f>(AR91* $F$2 + AR95* $H$2)*EXP($H$1*$F$1/$L$1)</f>
        <v>1.9305512154643159</v>
      </c>
      <c r="AS93" s="18">
        <f>(AT91* $F$2 + AT95* $H$2)*EXP($H$1*$F$1/$L$1)</f>
        <v>1.9289432863669773</v>
      </c>
      <c r="AU93" s="18">
        <f>(AV91* $F$2 + AV95* $H$2)*EXP($H$1*$F$1/$L$1)</f>
        <v>1.9273358998618308</v>
      </c>
      <c r="AW93" s="18">
        <f>(AX91* $F$2 + AX95* $H$2)*EXP($H$1*$F$1/$L$1)</f>
        <v>1.9257290557956632</v>
      </c>
      <c r="AY93" s="16">
        <f>MAX(AY92 - $J$1, 0)</f>
        <v>1.9241227540153023</v>
      </c>
    </row>
    <row r="94" spans="9:51" x14ac:dyDescent="0.15">
      <c r="J94">
        <v>10.827991707113835</v>
      </c>
      <c r="L94">
        <v>10.827991707113837</v>
      </c>
      <c r="N94">
        <v>10.827991707113835</v>
      </c>
      <c r="P94">
        <v>10.827991707113837</v>
      </c>
      <c r="R94">
        <v>10.827991707113837</v>
      </c>
      <c r="T94">
        <v>10.827991707113837</v>
      </c>
      <c r="V94">
        <v>10.827991707113839</v>
      </c>
      <c r="X94">
        <v>10.827991707113839</v>
      </c>
      <c r="Z94">
        <v>10.827991707113839</v>
      </c>
      <c r="AB94">
        <v>10.827991707113839</v>
      </c>
      <c r="AD94">
        <v>10.82799170711384</v>
      </c>
      <c r="AF94">
        <v>10.82799170711384</v>
      </c>
      <c r="AH94">
        <v>10.82799170711384</v>
      </c>
      <c r="AJ94">
        <v>10.82799170711384</v>
      </c>
      <c r="AL94">
        <v>10.82799170711384</v>
      </c>
      <c r="AN94">
        <v>10.82799170711384</v>
      </c>
      <c r="AP94">
        <v>10.827991707113842</v>
      </c>
      <c r="AR94">
        <v>10.827991707113842</v>
      </c>
      <c r="AT94">
        <v>10.827991707113844</v>
      </c>
      <c r="AV94">
        <v>10.827991707113842</v>
      </c>
      <c r="AX94">
        <v>10.827991707113842</v>
      </c>
    </row>
    <row r="95" spans="9:51" x14ac:dyDescent="0.15">
      <c r="J95" s="18">
        <f>(K93* $F$2 + K97* $H$2)*EXP($H$1*$F$1/$L$1)</f>
        <v>1.860582184155229</v>
      </c>
      <c r="L95" s="18">
        <f>(M93* $F$2 + M97* $H$2)*EXP($H$1*$F$1/$L$1)</f>
        <v>1.8589741021797992</v>
      </c>
      <c r="N95" s="18">
        <f>(O93* $F$2 + O97* $H$2)*EXP($H$1*$F$1/$L$1)</f>
        <v>1.8573706137737116</v>
      </c>
      <c r="P95" s="18">
        <f>(Q93* $F$2 + Q97* $H$2)*EXP($H$1*$F$1/$L$1)</f>
        <v>1.8557709955737038</v>
      </c>
      <c r="R95" s="18">
        <f>(S93* $F$2 + S97* $H$2)*EXP($H$1*$F$1/$L$1)</f>
        <v>1.8541745528971232</v>
      </c>
      <c r="T95" s="18">
        <f>(U93* $F$2 + U97* $H$2)*EXP($H$1*$F$1/$L$1)</f>
        <v>1.8525806403100411</v>
      </c>
      <c r="V95" s="18">
        <f>(W93* $F$2 + W97* $H$2)*EXP($H$1*$F$1/$L$1)</f>
        <v>1.8509886826175848</v>
      </c>
      <c r="X95" s="18">
        <f>(Y93* $F$2 + Y97* $H$2)*EXP($H$1*$F$1/$L$1)</f>
        <v>1.849398194110103</v>
      </c>
      <c r="Z95" s="18">
        <f>(AA93* $F$2 + AA97* $H$2)*EXP($H$1*$F$1/$L$1)</f>
        <v>1.8478087930597573</v>
      </c>
      <c r="AB95" s="18">
        <f>(AC93* $F$2 + AC97* $H$2)*EXP($H$1*$F$1/$L$1)</f>
        <v>1.8462202078563708</v>
      </c>
      <c r="AD95" s="18">
        <f>(AE93* $F$2 + AE97* $H$2)*EXP($H$1*$F$1/$L$1)</f>
        <v>1.8446322713447292</v>
      </c>
      <c r="AF95" s="18">
        <f>(AG93* $F$2 + AG97* $H$2)*EXP($H$1*$F$1/$L$1)</f>
        <v>1.8430449017134247</v>
      </c>
      <c r="AH95" s="18">
        <f>(AI93* $F$2 + AI97* $H$2)*EXP($H$1*$F$1/$L$1)</f>
        <v>1.841458072514929</v>
      </c>
      <c r="AJ95" s="18">
        <f>(AK93* $F$2 + AK97* $H$2)*EXP($H$1*$F$1/$L$1)</f>
        <v>1.839871780731047</v>
      </c>
      <c r="AL95" s="18">
        <f>(AM93* $F$2 + AM97* $H$2)*EXP($H$1*$F$1/$L$1)</f>
        <v>1.8382860262098477</v>
      </c>
      <c r="AN95" s="18">
        <f>(AO93* $F$2 + AO97* $H$2)*EXP($H$1*$F$1/$L$1)</f>
        <v>1.836700808799441</v>
      </c>
      <c r="AP95" s="18">
        <f>(AQ93* $F$2 + AQ97* $H$2)*EXP($H$1*$F$1/$L$1)</f>
        <v>1.8351161283479771</v>
      </c>
      <c r="AR95" s="18">
        <f>(AS93* $F$2 + AS97* $H$2)*EXP($H$1*$F$1/$L$1)</f>
        <v>1.8335319847036458</v>
      </c>
      <c r="AT95" s="18">
        <f>(AU93* $F$2 + AU97* $H$2)*EXP($H$1*$F$1/$L$1)</f>
        <v>1.8319483777146779</v>
      </c>
      <c r="AV95" s="18">
        <f>(AW93* $F$2 + AW97* $H$2)*EXP($H$1*$F$1/$L$1)</f>
        <v>1.8303653072293431</v>
      </c>
      <c r="AX95" s="18">
        <f>(AY93* $F$2 + AY97* $H$2)*EXP($H$1*$F$1/$L$1)</f>
        <v>1.8287827730959525</v>
      </c>
    </row>
    <row r="96" spans="9:51" x14ac:dyDescent="0.15">
      <c r="I96">
        <v>10.732706602571911</v>
      </c>
      <c r="K96">
        <v>10.732706602571913</v>
      </c>
      <c r="M96">
        <v>10.732706602571913</v>
      </c>
      <c r="O96">
        <v>10.732706602571911</v>
      </c>
      <c r="Q96">
        <v>10.732706602571913</v>
      </c>
      <c r="S96">
        <v>10.732706602571913</v>
      </c>
      <c r="U96">
        <v>10.732706602571914</v>
      </c>
      <c r="W96">
        <v>10.732706602571914</v>
      </c>
      <c r="Y96">
        <v>10.732706602571914</v>
      </c>
      <c r="AA96">
        <v>10.732706602571914</v>
      </c>
      <c r="AC96">
        <v>10.732706602571914</v>
      </c>
      <c r="AE96">
        <v>10.732706602571914</v>
      </c>
      <c r="AG96">
        <v>10.732706602571916</v>
      </c>
      <c r="AI96">
        <v>10.732706602571916</v>
      </c>
      <c r="AK96">
        <v>10.732706602571916</v>
      </c>
      <c r="AM96">
        <v>10.732706602571916</v>
      </c>
      <c r="AO96">
        <v>10.732706602571918</v>
      </c>
      <c r="AQ96">
        <v>10.732706602571918</v>
      </c>
      <c r="AS96">
        <v>10.732706602571918</v>
      </c>
      <c r="AU96">
        <v>10.732706602571918</v>
      </c>
      <c r="AW96">
        <v>10.73270660257192</v>
      </c>
      <c r="AY96">
        <v>10.73270660257192</v>
      </c>
    </row>
    <row r="97" spans="1:51" x14ac:dyDescent="0.15">
      <c r="I97" s="18">
        <f>(J95* $F$2 + J99* $H$2)*EXP($H$1*$F$1/$L$1)</f>
        <v>1.765649991157674</v>
      </c>
      <c r="K97" s="18">
        <f>(L95* $F$2 + L99* $H$2)*EXP($H$1*$F$1/$L$1)</f>
        <v>1.764050531648089</v>
      </c>
      <c r="M97" s="18">
        <f>(N95* $F$2 + N99* $H$2)*EXP($H$1*$F$1/$L$1)</f>
        <v>1.7624584396901981</v>
      </c>
      <c r="O97" s="18">
        <f>(P95* $F$2 + P99* $H$2)*EXP($H$1*$F$1/$L$1)</f>
        <v>1.7608727866305556</v>
      </c>
      <c r="Q97" s="18">
        <f>(R95* $F$2 + R99* $H$2)*EXP($H$1*$F$1/$L$1)</f>
        <v>1.7592926264494251</v>
      </c>
      <c r="S97" s="18">
        <f>(T95* $F$2 + T99* $H$2)*EXP($H$1*$F$1/$L$1)</f>
        <v>1.7577170198972978</v>
      </c>
      <c r="U97" s="18">
        <f>(V95* $F$2 + V99* $H$2)*EXP($H$1*$F$1/$L$1)</f>
        <v>1.7561450633572551</v>
      </c>
      <c r="W97" s="18">
        <f>(X95* $F$2 + X99* $H$2)*EXP($H$1*$F$1/$L$1)</f>
        <v>1.754575921264443</v>
      </c>
      <c r="Y97" s="18">
        <f>(Z95* $F$2 + Z99* $H$2)*EXP($H$1*$F$1/$L$1)</f>
        <v>1.7530088596145719</v>
      </c>
      <c r="AA97" s="18">
        <f>(AB95* $F$2 + AB99* $H$2)*EXP($H$1*$F$1/$L$1)</f>
        <v>1.7514432763840595</v>
      </c>
      <c r="AC97" s="18">
        <f>(AD95* $F$2 + AD99* $H$2)*EXP($H$1*$F$1/$L$1)</f>
        <v>1.7498787228218657</v>
      </c>
      <c r="AE97" s="18">
        <f>(AF95* $F$2 + AF99* $H$2)*EXP($H$1*$F$1/$L$1)</f>
        <v>1.7483149083204497</v>
      </c>
      <c r="AG97" s="18">
        <f>(AH95* $F$2 + AH99* $H$2)*EXP($H$1*$F$1/$L$1)</f>
        <v>1.7467516825292937</v>
      </c>
      <c r="AI97" s="18">
        <f>(AJ95* $F$2 + AJ99* $H$2)*EXP($H$1*$F$1/$L$1)</f>
        <v>1.7451889940073302</v>
      </c>
      <c r="AK97" s="18">
        <f>(AL95* $F$2 + AL99* $H$2)*EXP($H$1*$F$1/$L$1)</f>
        <v>1.7436268368567682</v>
      </c>
      <c r="AM97" s="18">
        <f>(AN95* $F$2 + AN99* $H$2)*EXP($H$1*$F$1/$L$1)</f>
        <v>1.7420652109271888</v>
      </c>
      <c r="AO97" s="18">
        <f>(AP95* $F$2 + AP99* $H$2)*EXP($H$1*$F$1/$L$1)</f>
        <v>1.7405041160682133</v>
      </c>
      <c r="AQ97" s="18">
        <f>(AR95* $F$2 + AR99* $H$2)*EXP($H$1*$F$1/$L$1)</f>
        <v>1.7389435521295029</v>
      </c>
      <c r="AS97" s="18">
        <f>(AT95* $F$2 + AT99* $H$2)*EXP($H$1*$F$1/$L$1)</f>
        <v>1.737383518960758</v>
      </c>
      <c r="AU97" s="18">
        <f>(AV95* $F$2 + AV99* $H$2)*EXP($H$1*$F$1/$L$1)</f>
        <v>1.7358240164117191</v>
      </c>
      <c r="AW97" s="18">
        <f>(AX95* $F$2 + AX99* $H$2)*EXP($H$1*$F$1/$L$1)</f>
        <v>1.7342650443321663</v>
      </c>
      <c r="AY97" s="16">
        <f>MAX(AY96 - $J$1, 0)</f>
        <v>1.7327066025719198</v>
      </c>
    </row>
    <row r="98" spans="1:51" x14ac:dyDescent="0.15">
      <c r="H98">
        <v>10.638259996192263</v>
      </c>
      <c r="J98">
        <v>10.638259996192263</v>
      </c>
      <c r="L98">
        <v>10.638259996192264</v>
      </c>
      <c r="N98">
        <v>10.638259996192264</v>
      </c>
      <c r="P98">
        <v>10.638259996192264</v>
      </c>
      <c r="R98">
        <v>10.638259996192264</v>
      </c>
      <c r="T98">
        <v>10.638259996192266</v>
      </c>
      <c r="V98">
        <v>10.638259996192266</v>
      </c>
      <c r="X98">
        <v>10.638259996192266</v>
      </c>
      <c r="Z98">
        <v>10.638259996192266</v>
      </c>
      <c r="AB98">
        <v>10.638259996192266</v>
      </c>
      <c r="AD98">
        <v>10.638259996192268</v>
      </c>
      <c r="AF98">
        <v>10.63825999619227</v>
      </c>
      <c r="AH98">
        <v>10.638259996192268</v>
      </c>
      <c r="AJ98">
        <v>10.63825999619227</v>
      </c>
      <c r="AL98">
        <v>10.638259996192268</v>
      </c>
      <c r="AN98">
        <v>10.63825999619227</v>
      </c>
      <c r="AP98">
        <v>10.63825999619227</v>
      </c>
      <c r="AR98">
        <v>10.63825999619227</v>
      </c>
      <c r="AT98">
        <v>10.638259996192271</v>
      </c>
      <c r="AV98">
        <v>10.63825999619227</v>
      </c>
      <c r="AX98">
        <v>10.63825999619227</v>
      </c>
    </row>
    <row r="99" spans="1:51" x14ac:dyDescent="0.15">
      <c r="H99" s="18">
        <f>(I97* $F$2 + I101* $H$2)*EXP($H$1*$F$1/$L$1)</f>
        <v>1.6715934872832976</v>
      </c>
      <c r="J99" s="18">
        <f>(K97* $F$2 + K101* $H$2)*EXP($H$1*$F$1/$L$1)</f>
        <v>1.6699916893896403</v>
      </c>
      <c r="L99" s="18">
        <f>(M97* $F$2 + M101* $H$2)*EXP($H$1*$F$1/$L$1)</f>
        <v>1.6684010986555065</v>
      </c>
      <c r="N99" s="18">
        <f>(O97* $F$2 + O101* $H$2)*EXP($H$1*$F$1/$L$1)</f>
        <v>1.66682066328331</v>
      </c>
      <c r="P99" s="18">
        <f>(Q97* $F$2 + Q101* $H$2)*EXP($H$1*$F$1/$L$1)</f>
        <v>1.6652492483541335</v>
      </c>
      <c r="R99" s="18">
        <f>(S97* $F$2 + S101* $H$2)*EXP($H$1*$F$1/$L$1)</f>
        <v>1.6636856552931805</v>
      </c>
      <c r="T99" s="18">
        <f>(U97* $F$2 + U101* $H$2)*EXP($H$1*$F$1/$L$1)</f>
        <v>1.6621286495906482</v>
      </c>
      <c r="V99" s="18">
        <f>(W97* $F$2 + W101* $H$2)*EXP($H$1*$F$1/$L$1)</f>
        <v>1.6605769975743645</v>
      </c>
      <c r="X99" s="18">
        <f>(Y97* $F$2 + Y101* $H$2)*EXP($H$1*$F$1/$L$1)</f>
        <v>1.659029512068563</v>
      </c>
      <c r="Z99" s="18">
        <f>(AA97* $F$2 + AA101* $H$2)*EXP($H$1*$F$1/$L$1)</f>
        <v>1.657485105011187</v>
      </c>
      <c r="AB99" s="18">
        <f>(AC97* $F$2 + AC101* $H$2)*EXP($H$1*$F$1/$L$1)</f>
        <v>1.655942842283654</v>
      </c>
      <c r="AD99" s="18">
        <f>(AE97* $F$2 + AE101* $H$2)*EXP($H$1*$F$1/$L$1)</f>
        <v>1.6544019920978921</v>
      </c>
      <c r="AF99" s="18">
        <f>(AG97* $F$2 + AG101* $H$2)*EXP($H$1*$F$1/$L$1)</f>
        <v>1.6528620539763308</v>
      </c>
      <c r="AH99" s="18">
        <f>(AI97* $F$2 + AI101* $H$2)*EXP($H$1*$F$1/$L$1)</f>
        <v>1.6513227530254242</v>
      </c>
      <c r="AJ99" s="18">
        <f>(AK97* $F$2 + AK101* $H$2)*EXP($H$1*$F$1/$L$1)</f>
        <v>1.6497839891301807</v>
      </c>
      <c r="AL99" s="18">
        <f>(AM97* $F$2 + AM101* $H$2)*EXP($H$1*$F$1/$L$1)</f>
        <v>1.6482457506171331</v>
      </c>
      <c r="AN99" s="18">
        <f>(AO97* $F$2 + AO101* $H$2)*EXP($H$1*$F$1/$L$1)</f>
        <v>1.6467080373373608</v>
      </c>
      <c r="AP99" s="18">
        <f>(AQ97* $F$2 + AQ101* $H$2)*EXP($H$1*$F$1/$L$1)</f>
        <v>1.645170849141983</v>
      </c>
      <c r="AR99" s="18">
        <f>(AS97* $F$2 + AS101* $H$2)*EXP($H$1*$F$1/$L$1)</f>
        <v>1.6436341858821581</v>
      </c>
      <c r="AT99" s="18">
        <f>(AU97* $F$2 + AU101* $H$2)*EXP($H$1*$F$1/$L$1)</f>
        <v>1.6420980474090838</v>
      </c>
      <c r="AV99" s="18">
        <f>(AW97* $F$2 + AW101* $H$2)*EXP($H$1*$F$1/$L$1)</f>
        <v>1.6405624335739972</v>
      </c>
      <c r="AX99" s="18">
        <f>(AY97* $F$2 + AY101* $H$2)*EXP($H$1*$F$1/$L$1)</f>
        <v>1.6390273442281746</v>
      </c>
    </row>
    <row r="100" spans="1:51" x14ac:dyDescent="0.15">
      <c r="G100">
        <v>10.544644509285732</v>
      </c>
      <c r="I100">
        <v>10.544644509285732</v>
      </c>
      <c r="K100">
        <v>10.544644509285733</v>
      </c>
      <c r="M100">
        <v>10.544644509285733</v>
      </c>
      <c r="O100">
        <v>10.544644509285732</v>
      </c>
      <c r="Q100">
        <v>10.544644509285733</v>
      </c>
      <c r="S100">
        <v>10.544644509285733</v>
      </c>
      <c r="U100">
        <v>10.544644509285735</v>
      </c>
      <c r="W100">
        <v>10.544644509285735</v>
      </c>
      <c r="Y100">
        <v>10.544644509285735</v>
      </c>
      <c r="AA100">
        <v>10.544644509285733</v>
      </c>
      <c r="AC100">
        <v>10.544644509285735</v>
      </c>
      <c r="AE100">
        <v>10.544644509285735</v>
      </c>
      <c r="AG100">
        <v>10.544644509285735</v>
      </c>
      <c r="AI100">
        <v>10.544644509285737</v>
      </c>
      <c r="AK100">
        <v>10.544644509285737</v>
      </c>
      <c r="AM100">
        <v>10.544644509285737</v>
      </c>
      <c r="AO100">
        <v>10.544644509285737</v>
      </c>
      <c r="AQ100">
        <v>10.544644509285739</v>
      </c>
      <c r="AS100">
        <v>10.544644509285739</v>
      </c>
      <c r="AU100">
        <v>10.544644509285739</v>
      </c>
      <c r="AW100">
        <v>10.544644509285739</v>
      </c>
      <c r="AY100">
        <v>10.544644509285741</v>
      </c>
    </row>
    <row r="101" spans="1:51" x14ac:dyDescent="0.15">
      <c r="G101" s="18">
        <f>(H99* $F$2 + H103* $H$2)*EXP($H$1*$F$1/$L$1)</f>
        <v>1.5784473535367696</v>
      </c>
      <c r="I101" s="18">
        <f>(J99* $F$2 + J103* $H$2)*EXP($H$1*$F$1/$L$1)</f>
        <v>1.5768273192610367</v>
      </c>
      <c r="K101" s="18">
        <f>(L99* $F$2 + L103* $H$2)*EXP($H$1*$F$1/$L$1)</f>
        <v>1.5752233712992725</v>
      </c>
      <c r="M101" s="18">
        <f>(N99* $F$2 + N103* $H$2)*EXP($H$1*$F$1/$L$1)</f>
        <v>1.5736344891182368</v>
      </c>
      <c r="O101" s="18">
        <f>(P99* $F$2 + P103* $H$2)*EXP($H$1*$F$1/$L$1)</f>
        <v>1.572059497253177</v>
      </c>
      <c r="Q101" s="18">
        <f>(R99* $F$2 + R103* $H$2)*EXP($H$1*$F$1/$L$1)</f>
        <v>1.5704970710237185</v>
      </c>
      <c r="S101" s="18">
        <f>(T99* $F$2 + T103* $H$2)*EXP($H$1*$F$1/$L$1)</f>
        <v>1.5689457513009757</v>
      </c>
      <c r="U101" s="18">
        <f>(V99* $F$2 + V103* $H$2)*EXP($H$1*$F$1/$L$1)</f>
        <v>1.5674039710773855</v>
      </c>
      <c r="W101" s="18">
        <f>(X99* $F$2 + X103* $H$2)*EXP($H$1*$F$1/$L$1)</f>
        <v>1.5658700966110488</v>
      </c>
      <c r="Y101" s="18">
        <f>(Z99* $F$2 + Z103* $H$2)*EXP($H$1*$F$1/$L$1)</f>
        <v>1.5643424852936718</v>
      </c>
      <c r="AA101" s="18">
        <f>(AB99* $F$2 + AB103* $H$2)*EXP($H$1*$F$1/$L$1)</f>
        <v>1.562819560576473</v>
      </c>
      <c r="AC101" s="18">
        <f>(AD99* $F$2 + AD103* $H$2)*EXP($H$1*$F$1/$L$1)</f>
        <v>1.5612999005093517</v>
      </c>
      <c r="AE101" s="18">
        <f>(AF99* $F$2 + AF103* $H$2)*EXP($H$1*$F$1/$L$1)</f>
        <v>1.5597823298693447</v>
      </c>
      <c r="AG101" s="18">
        <f>(AH99* $F$2 + AH103* $H$2)*EXP($H$1*$F$1/$L$1)</f>
        <v>1.5582659962526759</v>
      </c>
      <c r="AI101" s="18">
        <f>(AJ99* $F$2 + AJ103* $H$2)*EXP($H$1*$F$1/$L$1)</f>
        <v>1.5567504001595165</v>
      </c>
      <c r="AK101" s="18">
        <f>(AL99* $F$2 + AL103* $H$2)*EXP($H$1*$F$1/$L$1)</f>
        <v>1.5552353467692011</v>
      </c>
      <c r="AM101" s="18">
        <f>(AN99* $F$2 + AN103* $H$2)*EXP($H$1*$F$1/$L$1)</f>
        <v>1.5537208128254001</v>
      </c>
      <c r="AO101" s="18">
        <f>(AP99* $F$2 + AP103* $H$2)*EXP($H$1*$F$1/$L$1)</f>
        <v>1.5522067981806782</v>
      </c>
      <c r="AQ101" s="18">
        <f>(AR99* $F$2 + AR103* $H$2)*EXP($H$1*$F$1/$L$1)</f>
        <v>1.5506933026876386</v>
      </c>
      <c r="AS101" s="18">
        <f>(AT99* $F$2 + AT103* $H$2)*EXP($H$1*$F$1/$L$1)</f>
        <v>1.5491803261989243</v>
      </c>
      <c r="AU101" s="18">
        <f>(AV99* $F$2 + AV103* $H$2)*EXP($H$1*$F$1/$L$1)</f>
        <v>1.5476678685672163</v>
      </c>
      <c r="AW101" s="18">
        <f>(AX99* $F$2 + AX103* $H$2)*EXP($H$1*$F$1/$L$1)</f>
        <v>1.5461559296452352</v>
      </c>
      <c r="AY101" s="16">
        <f>MAX(AY100 - $J$1, 0)</f>
        <v>1.5446445092857406</v>
      </c>
    </row>
    <row r="102" spans="1:51" x14ac:dyDescent="0.15">
      <c r="F102">
        <v>10.451852828094786</v>
      </c>
      <c r="H102">
        <v>10.451852828094784</v>
      </c>
      <c r="J102">
        <v>10.451852828094784</v>
      </c>
      <c r="L102">
        <v>10.451852828094786</v>
      </c>
      <c r="N102">
        <v>10.451852828094784</v>
      </c>
      <c r="P102">
        <v>10.451852828094786</v>
      </c>
      <c r="R102">
        <v>10.451852828094786</v>
      </c>
      <c r="T102">
        <v>10.451852828094786</v>
      </c>
      <c r="V102">
        <v>10.451852828094788</v>
      </c>
      <c r="X102">
        <v>10.451852828094788</v>
      </c>
      <c r="Z102">
        <v>10.451852828094788</v>
      </c>
      <c r="AB102">
        <v>10.451852828094788</v>
      </c>
      <c r="AD102">
        <v>10.45185282809479</v>
      </c>
      <c r="AF102">
        <v>10.451852828094788</v>
      </c>
      <c r="AH102">
        <v>10.45185282809479</v>
      </c>
      <c r="AJ102">
        <v>10.45185282809479</v>
      </c>
      <c r="AL102">
        <v>10.45185282809479</v>
      </c>
      <c r="AN102">
        <v>10.45185282809479</v>
      </c>
      <c r="AP102">
        <v>10.451852828094792</v>
      </c>
      <c r="AR102">
        <v>10.451852828094792</v>
      </c>
      <c r="AT102">
        <v>10.451852828094793</v>
      </c>
      <c r="AV102">
        <v>10.451852828094792</v>
      </c>
      <c r="AX102">
        <v>10.451852828094793</v>
      </c>
    </row>
    <row r="103" spans="1:51" x14ac:dyDescent="0.15">
      <c r="F103" s="18">
        <f>(G101* $F$2 + G105* $H$2)*EXP($H$1*$F$1/$L$1)</f>
        <v>1.4862680007731965</v>
      </c>
      <c r="H103" s="18">
        <f>(I101* $F$2 + I105* $H$2)*EXP($H$1*$F$1/$L$1)</f>
        <v>1.4846080705934765</v>
      </c>
      <c r="J103" s="18">
        <f>(K101* $F$2 + K105* $H$2)*EXP($H$1*$F$1/$L$1)</f>
        <v>1.4829699059961046</v>
      </c>
      <c r="L103" s="18">
        <f>(M101* $F$2 + M105* $H$2)*EXP($H$1*$F$1/$L$1)</f>
        <v>1.4813527307970404</v>
      </c>
      <c r="N103" s="18">
        <f>(O101* $F$2 + O105* $H$2)*EXP($H$1*$F$1/$L$1)</f>
        <v>1.4797555560215465</v>
      </c>
      <c r="P103" s="18">
        <f>(Q101* $F$2 + Q105* $H$2)*EXP($H$1*$F$1/$L$1)</f>
        <v>1.4781771655907425</v>
      </c>
      <c r="R103" s="18">
        <f>(S101* $F$2 + S105* $H$2)*EXP($H$1*$F$1/$L$1)</f>
        <v>1.4766161082141023</v>
      </c>
      <c r="T103" s="18">
        <f>(U101* $F$2 + U105* $H$2)*EXP($H$1*$F$1/$L$1)</f>
        <v>1.4750706991320668</v>
      </c>
      <c r="V103" s="18">
        <f>(W101* $F$2 + W105* $H$2)*EXP($H$1*$F$1/$L$1)</f>
        <v>1.4735390364254894</v>
      </c>
      <c r="X103" s="18">
        <f>(Y101* $F$2 + Y105* $H$2)*EXP($H$1*$F$1/$L$1)</f>
        <v>1.4720190376163789</v>
      </c>
      <c r="Z103" s="18">
        <f>(AA101* $F$2 + AA105* $H$2)*EXP($H$1*$F$1/$L$1)</f>
        <v>1.4705085028071507</v>
      </c>
      <c r="AB103" s="18">
        <f>(AC101* $F$2 + AC105* $H$2)*EXP($H$1*$F$1/$L$1)</f>
        <v>1.4690052098001476</v>
      </c>
      <c r="AD103" s="18">
        <f>(AE101* $F$2 + AE105* $H$2)*EXP($H$1*$F$1/$L$1)</f>
        <v>1.4675070429913644</v>
      </c>
      <c r="AF103" s="18">
        <f>(AG101* $F$2 + AG105* $H$2)*EXP($H$1*$F$1/$L$1)</f>
        <v>1.4660121489716278</v>
      </c>
      <c r="AH103" s="18">
        <f>(AI101* $F$2 + AI105* $H$2)*EXP($H$1*$F$1/$L$1)</f>
        <v>1.4645190948627265</v>
      </c>
      <c r="AJ103" s="18">
        <f>(AK101* $F$2 + AK105* $H$2)*EXP($H$1*$F$1/$L$1)</f>
        <v>1.4630269797187796</v>
      </c>
      <c r="AL103" s="18">
        <f>(AM101* $F$2 + AM105* $H$2)*EXP($H$1*$F$1/$L$1)</f>
        <v>1.4615354246224146</v>
      </c>
      <c r="AN103" s="18">
        <f>(AO101* $F$2 + AO105* $H$2)*EXP($H$1*$F$1/$L$1)</f>
        <v>1.4600443830899295</v>
      </c>
      <c r="AP103" s="18">
        <f>(AQ101* $F$2 + AQ105* $H$2)*EXP($H$1*$F$1/$L$1)</f>
        <v>1.4585538549753605</v>
      </c>
      <c r="AR103" s="18">
        <f>(AS101* $F$2 + AS105* $H$2)*EXP($H$1*$F$1/$L$1)</f>
        <v>1.457063840132782</v>
      </c>
      <c r="AT103" s="18">
        <f>(AU101* $F$2 + AU105* $H$2)*EXP($H$1*$F$1/$L$1)</f>
        <v>1.4555743384163078</v>
      </c>
      <c r="AV103" s="18">
        <f>(AW101* $F$2 + AW105* $H$2)*EXP($H$1*$F$1/$L$1)</f>
        <v>1.4540853496800892</v>
      </c>
      <c r="AX103" s="18">
        <f>(AY101* $F$2 + AY105* $H$2)*EXP($H$1*$F$1/$L$1)</f>
        <v>1.4525968737783173</v>
      </c>
    </row>
    <row r="104" spans="1:51" x14ac:dyDescent="0.15">
      <c r="E104">
        <v>10.359877703222134</v>
      </c>
      <c r="G104">
        <v>10.359877703222134</v>
      </c>
      <c r="I104">
        <v>10.359877703222134</v>
      </c>
      <c r="K104">
        <v>10.359877703222136</v>
      </c>
      <c r="M104">
        <v>10.359877703222136</v>
      </c>
      <c r="O104">
        <v>10.359877703222134</v>
      </c>
      <c r="Q104">
        <v>10.359877703222137</v>
      </c>
      <c r="S104">
        <v>10.359877703222136</v>
      </c>
      <c r="U104">
        <v>10.359877703222137</v>
      </c>
      <c r="W104">
        <v>10.359877703222137</v>
      </c>
      <c r="Y104">
        <v>10.359877703222137</v>
      </c>
      <c r="AA104">
        <v>10.359877703222136</v>
      </c>
      <c r="AC104">
        <v>10.359877703222139</v>
      </c>
      <c r="AE104">
        <v>10.359877703222137</v>
      </c>
      <c r="AG104">
        <v>10.359877703222139</v>
      </c>
      <c r="AI104">
        <v>10.359877703222139</v>
      </c>
      <c r="AK104">
        <v>10.359877703222141</v>
      </c>
      <c r="AM104">
        <v>10.359877703222139</v>
      </c>
      <c r="AO104">
        <v>10.359877703222141</v>
      </c>
      <c r="AQ104">
        <v>10.359877703222141</v>
      </c>
      <c r="AS104">
        <v>10.359877703222141</v>
      </c>
      <c r="AU104">
        <v>10.359877703222141</v>
      </c>
      <c r="AW104">
        <v>10.359877703222143</v>
      </c>
      <c r="AY104">
        <v>10.359877703222143</v>
      </c>
    </row>
    <row r="105" spans="1:51" x14ac:dyDescent="0.15">
      <c r="E105" s="18">
        <f>(F103* $F$2 + F107* $H$2)*EXP($H$1*$F$1/$L$1)</f>
        <v>1.3951397894549642</v>
      </c>
      <c r="G105" s="18">
        <f>(H103* $F$2 + H107* $H$2)*EXP($H$1*$F$1/$L$1)</f>
        <v>1.3934121925758323</v>
      </c>
      <c r="I105" s="18">
        <f>(J103* $F$2 + J107* $H$2)*EXP($H$1*$F$1/$L$1)</f>
        <v>1.3917123623734284</v>
      </c>
      <c r="K105" s="18">
        <f>(L103* $F$2 + L107* $H$2)*EXP($H$1*$F$1/$L$1)</f>
        <v>1.3900400044946524</v>
      </c>
      <c r="M105" s="18">
        <f>(N103* $F$2 + N107* $H$2)*EXP($H$1*$F$1/$L$1)</f>
        <v>1.3883945885013207</v>
      </c>
      <c r="O105" s="18">
        <f>(P103* $F$2 + P107* $H$2)*EXP($H$1*$F$1/$L$1)</f>
        <v>1.3867753130243603</v>
      </c>
      <c r="Q105" s="18">
        <f>(R103* $F$2 + R107* $H$2)*EXP($H$1*$F$1/$L$1)</f>
        <v>1.3851810713163049</v>
      </c>
      <c r="S105" s="18">
        <f>(T103* $F$2 + T107* $H$2)*EXP($H$1*$F$1/$L$1)</f>
        <v>1.3836104201485591</v>
      </c>
      <c r="U105" s="18">
        <f>(V103* $F$2 + V107* $H$2)*EXP($H$1*$F$1/$L$1)</f>
        <v>1.382061556594544</v>
      </c>
      <c r="W105" s="18">
        <f>(X103* $F$2 + X107* $H$2)*EXP($H$1*$F$1/$L$1)</f>
        <v>1.3805323093701387</v>
      </c>
      <c r="Y105" s="18">
        <f>(Z103* $F$2 + Z107* $H$2)*EXP($H$1*$F$1/$L$1)</f>
        <v>1.3790201540495457</v>
      </c>
      <c r="AA105" s="18">
        <f>(AB103* $F$2 + AB107* $H$2)*EXP($H$1*$F$1/$L$1)</f>
        <v>1.3775222643472951</v>
      </c>
      <c r="AC105" s="18">
        <f>(AD103* $F$2 + AD107* $H$2)*EXP($H$1*$F$1/$L$1)</f>
        <v>1.3760356138411849</v>
      </c>
      <c r="AE105" s="18">
        <f>(AF103* $F$2 + AF107* $H$2)*EXP($H$1*$F$1/$L$1)</f>
        <v>1.3745571418106339</v>
      </c>
      <c r="AG105" s="18">
        <f>(AH103* $F$2 + AH107* $H$2)*EXP($H$1*$F$1/$L$1)</f>
        <v>1.3730839887502921</v>
      </c>
      <c r="AI105" s="18">
        <f>(AJ103* $F$2 + AJ107* $H$2)*EXP($H$1*$F$1/$L$1)</f>
        <v>1.3716137836197024</v>
      </c>
      <c r="AK105" s="18">
        <f>(AL103* $F$2 + AL107* $H$2)*EXP($H$1*$F$1/$L$1)</f>
        <v>1.3701449157057093</v>
      </c>
      <c r="AM105" s="18">
        <f>(AN103* $F$2 + AN107* $H$2)*EXP($H$1*$F$1/$L$1)</f>
        <v>1.3686766485860802</v>
      </c>
      <c r="AO105" s="18">
        <f>(AP103* $F$2 + AP107* $H$2)*EXP($H$1*$F$1/$L$1)</f>
        <v>1.3672088892002698</v>
      </c>
      <c r="AQ105" s="18">
        <f>(AR103* $F$2 + AR107* $H$2)*EXP($H$1*$F$1/$L$1)</f>
        <v>1.3657416374037725</v>
      </c>
      <c r="AS105" s="18">
        <f>(AT103* $F$2 + AT107* $H$2)*EXP($H$1*$F$1/$L$1)</f>
        <v>1.3642748930521211</v>
      </c>
      <c r="AU105" s="18">
        <f>(AV103* $F$2 + AV107* $H$2)*EXP($H$1*$F$1/$L$1)</f>
        <v>1.3628086560008865</v>
      </c>
      <c r="AW105" s="18">
        <f>(AX103* $F$2 + AX107* $H$2)*EXP($H$1*$F$1/$L$1)</f>
        <v>1.3613429261056778</v>
      </c>
      <c r="AY105" s="16">
        <f>MAX(AY104 - $J$1, 0)</f>
        <v>1.3598777032221427</v>
      </c>
    </row>
    <row r="106" spans="1:51" x14ac:dyDescent="0.15">
      <c r="D106">
        <v>10.268711949064366</v>
      </c>
      <c r="F106">
        <v>10.26871194906437</v>
      </c>
      <c r="H106">
        <v>10.268711949064368</v>
      </c>
      <c r="J106">
        <v>10.268711949064368</v>
      </c>
      <c r="L106">
        <v>10.268711949064368</v>
      </c>
      <c r="N106">
        <v>10.268711949064366</v>
      </c>
      <c r="P106">
        <v>10.26871194906437</v>
      </c>
      <c r="R106">
        <v>10.26871194906437</v>
      </c>
      <c r="T106">
        <v>10.26871194906437</v>
      </c>
      <c r="V106">
        <v>10.268711949064372</v>
      </c>
      <c r="X106">
        <v>10.26871194906437</v>
      </c>
      <c r="Z106">
        <v>10.26871194906437</v>
      </c>
      <c r="AB106">
        <v>10.268711949064372</v>
      </c>
      <c r="AD106">
        <v>10.268711949064372</v>
      </c>
      <c r="AF106">
        <v>10.268711949064372</v>
      </c>
      <c r="AH106">
        <v>10.268711949064372</v>
      </c>
      <c r="AJ106">
        <v>10.268711949064373</v>
      </c>
      <c r="AL106">
        <v>10.268711949064372</v>
      </c>
      <c r="AN106">
        <v>10.268711949064373</v>
      </c>
      <c r="AP106">
        <v>10.268711949064373</v>
      </c>
      <c r="AR106">
        <v>10.268711949064373</v>
      </c>
      <c r="AT106">
        <v>10.268711949064375</v>
      </c>
      <c r="AV106">
        <v>10.268711949064375</v>
      </c>
      <c r="AX106">
        <v>10.268711949064373</v>
      </c>
    </row>
    <row r="107" spans="1:51" x14ac:dyDescent="0.15">
      <c r="D107" s="18">
        <f>(E105* $F$2 + E109* $H$2)*EXP($H$1*$F$1/$L$1)</f>
        <v>1.3051809360005961</v>
      </c>
      <c r="F107" s="18">
        <f>(G105* $F$2 + G109* $H$2)*EXP($H$1*$F$1/$L$1)</f>
        <v>1.3033521333331262</v>
      </c>
      <c r="H107" s="18">
        <f>(I105* $F$2 + I109* $H$2)*EXP($H$1*$F$1/$L$1)</f>
        <v>1.3015567264391945</v>
      </c>
      <c r="J107" s="18">
        <f>(K105* $F$2 + K109* $H$2)*EXP($H$1*$F$1/$L$1)</f>
        <v>1.2997951157485441</v>
      </c>
      <c r="L107" s="18">
        <f>(M105* $F$2 + M109* $H$2)*EXP($H$1*$F$1/$L$1)</f>
        <v>1.2980674913381447</v>
      </c>
      <c r="N107" s="18">
        <f>(O105* $F$2 + O109* $H$2)*EXP($H$1*$F$1/$L$1)</f>
        <v>1.2963737838112146</v>
      </c>
      <c r="P107" s="18">
        <f>(Q105* $F$2 + Q109* $H$2)*EXP($H$1*$F$1/$L$1)</f>
        <v>1.2947136088142321</v>
      </c>
      <c r="R107" s="18">
        <f>(S105* $F$2 + S109* $H$2)*EXP($H$1*$F$1/$L$1)</f>
        <v>1.2930862061136799</v>
      </c>
      <c r="T107" s="18">
        <f>(U105* $F$2 + U109* $H$2)*EXP($H$1*$F$1/$L$1)</f>
        <v>1.291490375477198</v>
      </c>
      <c r="V107" s="18">
        <f>(W105* $F$2 + W109* $H$2)*EXP($H$1*$F$1/$L$1)</f>
        <v>1.2899244137231476</v>
      </c>
      <c r="X107" s="18">
        <f>(Y105* $F$2 + Y109* $H$2)*EXP($H$1*$F$1/$L$1)</f>
        <v>1.288386060561155</v>
      </c>
      <c r="Z107" s="18">
        <f>(AA105* $F$2 + AA109* $H$2)*EXP($H$1*$F$1/$L$1)</f>
        <v>1.2868724656278436</v>
      </c>
      <c r="AB107" s="18">
        <f>(AC105* $F$2 + AC109* $H$2)*EXP($H$1*$F$1/$L$1)</f>
        <v>1.2853801956917765</v>
      </c>
      <c r="AD107" s="18">
        <f>(AE105* $F$2 + AE109* $H$2)*EXP($H$1*$F$1/$L$1)</f>
        <v>1.2839053090483767</v>
      </c>
      <c r="AF107" s="18">
        <f>(AG105* $F$2 + AG109* $H$2)*EXP($H$1*$F$1/$L$1)</f>
        <v>1.2824435316291092</v>
      </c>
      <c r="AH107" s="18">
        <f>(AI105* $F$2 + AI109* $H$2)*EXP($H$1*$F$1/$L$1)</f>
        <v>1.2809905700734632</v>
      </c>
      <c r="AJ107" s="18">
        <f>(AK105* $F$2 + AK109* $H$2)*EXP($H$1*$F$1/$L$1)</f>
        <v>1.2795425757260144</v>
      </c>
      <c r="AL107" s="18">
        <f>(AM105* $F$2 + AM109* $H$2)*EXP($H$1*$F$1/$L$1)</f>
        <v>1.2780966997293512</v>
      </c>
      <c r="AN107" s="18">
        <f>(AO105* $F$2 + AO109* $H$2)*EXP($H$1*$F$1/$L$1)</f>
        <v>1.2766515121461071</v>
      </c>
      <c r="AP107" s="18">
        <f>(AQ105* $F$2 + AQ109* $H$2)*EXP($H$1*$F$1/$L$1)</f>
        <v>1.2752068265187244</v>
      </c>
      <c r="AR107" s="18">
        <f>(AS105* $F$2 + AS109* $H$2)*EXP($H$1*$F$1/$L$1)</f>
        <v>1.2737626427041429</v>
      </c>
      <c r="AT107" s="18">
        <f>(AU105* $F$2 + AU109* $H$2)*EXP($H$1*$F$1/$L$1)</f>
        <v>1.2723189605593404</v>
      </c>
      <c r="AV107" s="18">
        <f>(AW105* $F$2 + AW109* $H$2)*EXP($H$1*$F$1/$L$1)</f>
        <v>1.2708757799413326</v>
      </c>
      <c r="AX107" s="18">
        <f>(AY105* $F$2 + AY109* $H$2)*EXP($H$1*$F$1/$L$1)</f>
        <v>1.2694331007071731</v>
      </c>
    </row>
    <row r="108" spans="1:51" x14ac:dyDescent="0.15">
      <c r="C108">
        <v>10.17834844325057</v>
      </c>
      <c r="E108">
        <v>10.178348443250572</v>
      </c>
      <c r="G108">
        <v>10.178348443250574</v>
      </c>
      <c r="I108">
        <v>10.178348443250572</v>
      </c>
      <c r="K108">
        <v>10.178348443250574</v>
      </c>
      <c r="M108">
        <v>10.178348443250574</v>
      </c>
      <c r="O108">
        <v>10.178348443250574</v>
      </c>
      <c r="Q108">
        <v>10.178348443250576</v>
      </c>
      <c r="S108">
        <v>10.178348443250574</v>
      </c>
      <c r="U108">
        <v>10.178348443250576</v>
      </c>
      <c r="W108">
        <v>10.178348443250576</v>
      </c>
      <c r="Y108">
        <v>10.178348443250576</v>
      </c>
      <c r="AA108">
        <v>10.178348443250576</v>
      </c>
      <c r="AC108">
        <v>10.178348443250576</v>
      </c>
      <c r="AE108">
        <v>10.178348443250576</v>
      </c>
      <c r="AG108">
        <v>10.178348443250577</v>
      </c>
      <c r="AI108">
        <v>10.178348443250577</v>
      </c>
      <c r="AK108">
        <v>10.178348443250577</v>
      </c>
      <c r="AM108">
        <v>10.178348443250579</v>
      </c>
      <c r="AO108">
        <v>10.178348443250579</v>
      </c>
      <c r="AQ108">
        <v>10.178348443250579</v>
      </c>
      <c r="AS108">
        <v>10.178348443250579</v>
      </c>
      <c r="AU108">
        <v>10.178348443250581</v>
      </c>
      <c r="AW108">
        <v>10.178348443250581</v>
      </c>
      <c r="AY108">
        <v>10.178348443250581</v>
      </c>
    </row>
    <row r="109" spans="1:51" x14ac:dyDescent="0.15">
      <c r="C109" s="18">
        <f>(D107* $F$2 + D111* $H$2)*EXP($H$1*$F$1/$L$1)</f>
        <v>1.2165482670643033</v>
      </c>
      <c r="E109" s="18">
        <f>(F107* $F$2 + F111* $H$2)*EXP($H$1*$F$1/$L$1)</f>
        <v>1.2145801304605599</v>
      </c>
      <c r="G109" s="18">
        <f>(H107* $F$2 + H111* $H$2)*EXP($H$1*$F$1/$L$1)</f>
        <v>1.2126498130219185</v>
      </c>
      <c r="I109" s="18">
        <f>(J107* $F$2 + J111* $H$2)*EXP($H$1*$F$1/$L$1)</f>
        <v>1.2107585462021342</v>
      </c>
      <c r="K109" s="18">
        <f>(L107* $F$2 + L111* $H$2)*EXP($H$1*$F$1/$L$1)</f>
        <v>1.2089074288582671</v>
      </c>
      <c r="M109" s="18">
        <f>(N107* $F$2 + N111* $H$2)*EXP($H$1*$F$1/$L$1)</f>
        <v>1.2070973753901129</v>
      </c>
      <c r="O109" s="18">
        <f>(P107* $F$2 + P111* $H$2)*EXP($H$1*$F$1/$L$1)</f>
        <v>1.2053290522743014</v>
      </c>
      <c r="Q109" s="18">
        <f>(R107* $F$2 + R111* $H$2)*EXP($H$1*$F$1/$L$1)</f>
        <v>1.2036028014409135</v>
      </c>
      <c r="S109" s="18">
        <f>(T107* $F$2 + T111* $H$2)*EXP($H$1*$F$1/$L$1)</f>
        <v>1.2019185493787627</v>
      </c>
      <c r="U109" s="18">
        <f>(V107* $F$2 + V111* $H$2)*EXP($H$1*$F$1/$L$1)</f>
        <v>1.2002757019050903</v>
      </c>
      <c r="W109" s="18">
        <f>(X107* $F$2 + X111* $H$2)*EXP($H$1*$F$1/$L$1)</f>
        <v>1.1986730266434331</v>
      </c>
      <c r="Y109" s="18">
        <f>(Z107* $F$2 + Z111* $H$2)*EXP($H$1*$F$1/$L$1)</f>
        <v>1.1971085291267176</v>
      </c>
      <c r="AA109" s="18">
        <f>(AB107* $F$2 + AB111* $H$2)*EXP($H$1*$F$1/$L$1)</f>
        <v>1.1955793351428514</v>
      </c>
      <c r="AC109" s="18">
        <f>(AD107* $F$2 + AD111* $H$2)*EXP($H$1*$F$1/$L$1)</f>
        <v>1.1940816029181491</v>
      </c>
      <c r="AE109" s="18">
        <f>(AF107* $F$2 + AF111* $H$2)*EXP($H$1*$F$1/$L$1)</f>
        <v>1.1926105055732212</v>
      </c>
      <c r="AG109" s="18">
        <f>(AH107* $F$2 + AH111* $H$2)*EXP($H$1*$F$1/$L$1)</f>
        <v>1.1911603474897607</v>
      </c>
      <c r="AI109" s="18">
        <f>(AJ107* $F$2 + AJ111* $H$2)*EXP($H$1*$F$1/$L$1)</f>
        <v>1.1897249033029302</v>
      </c>
      <c r="AK109" s="18">
        <f>(AL107* $F$2 + AL111* $H$2)*EXP($H$1*$F$1/$L$1)</f>
        <v>1.1882980749966356</v>
      </c>
      <c r="AM109" s="18">
        <f>(AN107* $F$2 + AN111* $H$2)*EXP($H$1*$F$1/$L$1)</f>
        <v>1.1868748904019952</v>
      </c>
      <c r="AO109" s="18">
        <f>(AP107* $F$2 + AP111* $H$2)*EXP($H$1*$F$1/$L$1)</f>
        <v>1.1854525757748995</v>
      </c>
      <c r="AQ109" s="18">
        <f>(AR107* $F$2 + AR111* $H$2)*EXP($H$1*$F$1/$L$1)</f>
        <v>1.184030757377347</v>
      </c>
      <c r="AS109" s="18">
        <f>(AT107* $F$2 + AT111* $H$2)*EXP($H$1*$F$1/$L$1)</f>
        <v>1.1826094350677101</v>
      </c>
      <c r="AU109" s="18">
        <f>(AV107* $F$2 + AV111* $H$2)*EXP($H$1*$F$1/$L$1)</f>
        <v>1.181188608704399</v>
      </c>
      <c r="AW109" s="18">
        <f>(AX107* $F$2 + AX111* $H$2)*EXP($H$1*$F$1/$L$1)</f>
        <v>1.1797682781458607</v>
      </c>
      <c r="AY109" s="16">
        <f>MAX(AY108 - $J$1, 0)</f>
        <v>1.1783484432505809</v>
      </c>
    </row>
    <row r="110" spans="1:51" x14ac:dyDescent="0.15">
      <c r="B110">
        <v>10.088780126085894</v>
      </c>
      <c r="D110">
        <v>10.088780126085894</v>
      </c>
      <c r="F110">
        <v>10.088780126085897</v>
      </c>
      <c r="H110">
        <v>10.088780126085895</v>
      </c>
      <c r="J110">
        <v>10.088780126085895</v>
      </c>
      <c r="L110">
        <v>10.088780126085895</v>
      </c>
      <c r="N110">
        <v>10.088780126085895</v>
      </c>
      <c r="P110">
        <v>10.088780126085897</v>
      </c>
      <c r="R110">
        <v>10.088780126085897</v>
      </c>
      <c r="T110">
        <v>10.088780126085899</v>
      </c>
      <c r="V110">
        <v>10.088780126085897</v>
      </c>
      <c r="X110">
        <v>10.088780126085897</v>
      </c>
      <c r="Z110">
        <v>10.088780126085899</v>
      </c>
      <c r="AB110">
        <v>10.088780126085897</v>
      </c>
      <c r="AD110">
        <v>10.088780126085901</v>
      </c>
      <c r="AF110">
        <v>10.088780126085901</v>
      </c>
      <c r="AH110">
        <v>10.088780126085901</v>
      </c>
      <c r="AJ110">
        <v>10.088780126085901</v>
      </c>
      <c r="AL110">
        <v>10.088780126085901</v>
      </c>
      <c r="AN110">
        <v>10.088780126085901</v>
      </c>
      <c r="AP110">
        <v>10.088780126085902</v>
      </c>
      <c r="AR110">
        <v>10.088780126085901</v>
      </c>
      <c r="AT110">
        <v>10.088780126085904</v>
      </c>
      <c r="AV110">
        <v>10.088780126085901</v>
      </c>
      <c r="AX110">
        <v>10.088780126085902</v>
      </c>
    </row>
    <row r="111" spans="1:51" x14ac:dyDescent="0.15">
      <c r="B111" s="18">
        <f>(C109* $F$2 + C113* $H$2)*EXP($H$1*$F$1/$L$1)</f>
        <v>1.1294399526922216</v>
      </c>
      <c r="D111" s="18">
        <f>(E109* $F$2 + E113* $H$2)*EXP($H$1*$F$1/$L$1)</f>
        <v>1.1272918065115278</v>
      </c>
      <c r="F111" s="18">
        <f>(G109* $F$2 + G113* $H$2)*EXP($H$1*$F$1/$L$1)</f>
        <v>1.1251838416964539</v>
      </c>
      <c r="H111" s="18">
        <f>(I109* $F$2 + I113* $H$2)*EXP($H$1*$F$1/$L$1)</f>
        <v>1.1231181382205759</v>
      </c>
      <c r="J111" s="18">
        <f>(K109* $F$2 + K113* $H$2)*EXP($H$1*$F$1/$L$1)</f>
        <v>1.1210967628264767</v>
      </c>
      <c r="L111" s="18">
        <f>(M109* $F$2 + M113* $H$2)*EXP($H$1*$F$1/$L$1)</f>
        <v>1.1191217278462249</v>
      </c>
      <c r="N111" s="18">
        <f>(O109* $F$2 + O113* $H$2)*EXP($H$1*$F$1/$L$1)</f>
        <v>1.1171949365931464</v>
      </c>
      <c r="P111" s="18">
        <f>(Q109* $F$2 + Q113* $H$2)*EXP($H$1*$F$1/$L$1)</f>
        <v>1.1153181118785109</v>
      </c>
      <c r="R111" s="18">
        <f>(S109* $F$2 + S113* $H$2)*EXP($H$1*$F$1/$L$1)</f>
        <v>1.1134927036141395</v>
      </c>
      <c r="T111" s="18">
        <f>(U109* $F$2 + U113* $H$2)*EXP($H$1*$F$1/$L$1)</f>
        <v>1.1117197710108182</v>
      </c>
      <c r="V111" s="18">
        <f>(W109* $F$2 + W113* $H$2)*EXP($H$1*$F$1/$L$1)</f>
        <v>1.1099998348564786</v>
      </c>
      <c r="X111" s="18">
        <f>(Y109* $F$2 + Y113* $H$2)*EXP($H$1*$F$1/$L$1)</f>
        <v>1.1083326963091757</v>
      </c>
      <c r="Z111" s="18">
        <f>(AA109* $F$2 + AA113* $H$2)*EXP($H$1*$F$1/$L$1)</f>
        <v>1.1067172215995176</v>
      </c>
      <c r="AB111" s="18">
        <f>(AC109* $F$2 + AC113* $H$2)*EXP($H$1*$F$1/$L$1)</f>
        <v>1.1051510988676845</v>
      </c>
      <c r="AD111" s="18">
        <f>(AE109* $F$2 + AE113* $H$2)*EXP($H$1*$F$1/$L$1)</f>
        <v>1.1036305872837704</v>
      </c>
      <c r="AF111" s="18">
        <f>(AG109* $F$2 + AG113* $H$2)*EXP($H$1*$F$1/$L$1)</f>
        <v>1.1021503048227845</v>
      </c>
      <c r="AH111" s="18">
        <f>(AI109* $F$2 + AI113* $H$2)*EXP($H$1*$F$1/$L$1)</f>
        <v>1.100703146865635</v>
      </c>
      <c r="AJ111" s="18">
        <f>(AK109* $F$2 + AK113* $H$2)*EXP($H$1*$F$1/$L$1)</f>
        <v>1.0992804994796173</v>
      </c>
      <c r="AL111" s="18">
        <f>(AM109* $F$2 + AM113* $H$2)*EXP($H$1*$F$1/$L$1)</f>
        <v>1.0978729989760994</v>
      </c>
      <c r="AN111" s="18">
        <f>(AO109* $F$2 + AO113* $H$2)*EXP($H$1*$F$1/$L$1)</f>
        <v>1.0964721127412522</v>
      </c>
      <c r="AP111" s="18">
        <f>(AQ109* $F$2 + AQ113* $H$2)*EXP($H$1*$F$1/$L$1)</f>
        <v>1.0950724663335838</v>
      </c>
      <c r="AR111" s="18">
        <f>(AS109* $F$2 + AS113* $H$2)*EXP($H$1*$F$1/$L$1)</f>
        <v>1.0936733104803189</v>
      </c>
      <c r="AT111" s="18">
        <f>(AU109* $F$2 + AU113* $H$2)*EXP($H$1*$F$1/$L$1)</f>
        <v>1.0922746450412495</v>
      </c>
      <c r="AV111" s="18">
        <f>(AW109* $F$2 + AW113* $H$2)*EXP($H$1*$F$1/$L$1)</f>
        <v>1.0908764698762052</v>
      </c>
      <c r="AX111" s="18">
        <f>(AY109* $F$2 + AY113* $H$2)*EXP($H$1*$F$1/$L$1)</f>
        <v>1.0894787848450522</v>
      </c>
    </row>
    <row r="112" spans="1:51" x14ac:dyDescent="0.15">
      <c r="A112">
        <v>10</v>
      </c>
      <c r="C112">
        <v>9.9999999999999982</v>
      </c>
      <c r="E112">
        <v>10.000000000000002</v>
      </c>
      <c r="G112">
        <v>10.000000000000002</v>
      </c>
      <c r="I112">
        <v>10.000000000000002</v>
      </c>
      <c r="K112">
        <v>10.000000000000002</v>
      </c>
      <c r="M112">
        <v>10.000000000000004</v>
      </c>
      <c r="O112">
        <v>10.000000000000002</v>
      </c>
      <c r="Q112">
        <v>10.000000000000004</v>
      </c>
      <c r="S112">
        <v>10.000000000000004</v>
      </c>
      <c r="U112">
        <v>10.000000000000004</v>
      </c>
      <c r="W112">
        <v>10.000000000000004</v>
      </c>
      <c r="Y112">
        <v>10.000000000000005</v>
      </c>
      <c r="AA112">
        <v>10.000000000000004</v>
      </c>
      <c r="AC112">
        <v>10.000000000000005</v>
      </c>
      <c r="AE112">
        <v>10.000000000000005</v>
      </c>
      <c r="AG112">
        <v>10.000000000000007</v>
      </c>
      <c r="AI112">
        <v>10.000000000000005</v>
      </c>
      <c r="AK112">
        <v>10.000000000000007</v>
      </c>
      <c r="AM112">
        <v>10.000000000000007</v>
      </c>
      <c r="AO112">
        <v>10.000000000000007</v>
      </c>
      <c r="AQ112">
        <v>10.000000000000007</v>
      </c>
      <c r="AS112">
        <v>10.000000000000009</v>
      </c>
      <c r="AU112">
        <v>10.000000000000009</v>
      </c>
      <c r="AW112">
        <v>10.000000000000009</v>
      </c>
      <c r="AY112">
        <v>10.000000000000009</v>
      </c>
    </row>
    <row r="113" spans="1:51" x14ac:dyDescent="0.15">
      <c r="A113" s="18">
        <f>(B111* $F$2 + B115* $H$2)*EXP($H$1*$F$1/$L$1)</f>
        <v>1.0440954580624675</v>
      </c>
      <c r="C113" s="18">
        <f>(D111* $F$2 + D115* $H$2)*EXP($H$1*$F$1/$L$1)</f>
        <v>1.0417268699402402</v>
      </c>
      <c r="E113" s="18">
        <f>(F111* $F$2 + F115* $H$2)*EXP($H$1*$F$1/$L$1)</f>
        <v>1.0393980261662803</v>
      </c>
      <c r="G113" s="18">
        <f>(H111* $F$2 + H115* $H$2)*EXP($H$1*$F$1/$L$1)</f>
        <v>1.0371117334841067</v>
      </c>
      <c r="I113" s="18">
        <f>(J111* $F$2 + J115* $H$2)*EXP($H$1*$F$1/$L$1)</f>
        <v>1.0348709246386236</v>
      </c>
      <c r="K113" s="18">
        <f>(L111* $F$2 + L115* $H$2)*EXP($H$1*$F$1/$L$1)</f>
        <v>1.0326786391458589</v>
      </c>
      <c r="M113" s="18">
        <f>(N111* $F$2 + N115* $H$2)*EXP($H$1*$F$1/$L$1)</f>
        <v>1.0305379928564447</v>
      </c>
      <c r="O113" s="18">
        <f>(P111* $F$2 + P115* $H$2)*EXP($H$1*$F$1/$L$1)</f>
        <v>1.0284521322590128</v>
      </c>
      <c r="Q113" s="18">
        <f>(R111* $F$2 + R115* $H$2)*EXP($H$1*$F$1/$L$1)</f>
        <v>1.0264241681732396</v>
      </c>
      <c r="S113" s="18">
        <f>(T111* $F$2 + T115* $H$2)*EXP($H$1*$F$1/$L$1)</f>
        <v>1.0244570818533738</v>
      </c>
      <c r="U113" s="18">
        <f>(V111* $F$2 + V115* $H$2)*EXP($H$1*$F$1/$L$1)</f>
        <v>1.0225535945632767</v>
      </c>
      <c r="W113" s="18">
        <f>(X111* $F$2 + X115* $H$2)*EXP($H$1*$F$1/$L$1)</f>
        <v>1.020715989512837</v>
      </c>
      <c r="Y113" s="18">
        <f>(Z111* $F$2 + Z115* $H$2)*EXP($H$1*$F$1/$L$1)</f>
        <v>1.0189458730587895</v>
      </c>
      <c r="AA113" s="18">
        <f>(AB111* $F$2 + AB115* $H$2)*EXP($H$1*$F$1/$L$1)</f>
        <v>1.0172438612717167</v>
      </c>
      <c r="AC113" s="18">
        <f>(AD111* $F$2 + AD115* $H$2)*EXP($H$1*$F$1/$L$1)</f>
        <v>1.0156091806310579</v>
      </c>
      <c r="AE113" s="18">
        <f>(AF111* $F$2 + AF115* $H$2)*EXP($H$1*$F$1/$L$1)</f>
        <v>1.0140391826005259</v>
      </c>
      <c r="AG113" s="18">
        <f>(AH111* $F$2 + AH115* $H$2)*EXP($H$1*$F$1/$L$1)</f>
        <v>1.01252880109057</v>
      </c>
      <c r="AI113" s="18">
        <f>(AJ111* $F$2 + AJ115* $H$2)*EXP($H$1*$F$1/$L$1)</f>
        <v>1.0110700484426272</v>
      </c>
      <c r="AK113" s="18">
        <f>(AL111* $F$2 + AL115* $H$2)*EXP($H$1*$F$1/$L$1)</f>
        <v>1.0096517825080191</v>
      </c>
      <c r="AM113" s="18">
        <f>(AN111* $F$2 + AN115* $H$2)*EXP($H$1*$F$1/$L$1)</f>
        <v>1.0082602258990376</v>
      </c>
      <c r="AO113" s="18">
        <f>(AP111* $F$2 + AP115* $H$2)*EXP($H$1*$F$1/$L$1)</f>
        <v>1.0068810575774689</v>
      </c>
      <c r="AQ113" s="18">
        <f>(AR111* $F$2 + AR115* $H$2)*EXP($H$1*$F$1/$L$1)</f>
        <v>1.005503876479571</v>
      </c>
      <c r="AS113" s="18">
        <f>(AT111* $F$2 + AT115* $H$2)*EXP($H$1*$F$1/$L$1)</f>
        <v>1.0041271803116585</v>
      </c>
      <c r="AU113" s="18">
        <f>(AV111* $F$2 + AV115* $H$2)*EXP($H$1*$F$1/$L$1)</f>
        <v>1.0027509689349305</v>
      </c>
      <c r="AW113" s="18">
        <f>(AX111* $F$2 + AX115* $H$2)*EXP($H$1*$F$1/$L$1)</f>
        <v>1.001375242210623</v>
      </c>
      <c r="AY113" s="16">
        <f>MAX(AY112 - $J$1, 0)</f>
        <v>1.0000000000000089</v>
      </c>
    </row>
    <row r="114" spans="1:51" x14ac:dyDescent="0.15">
      <c r="B114">
        <v>9.912001129000382</v>
      </c>
      <c r="D114">
        <v>9.912001129000382</v>
      </c>
      <c r="F114">
        <v>9.9120011290003838</v>
      </c>
      <c r="H114">
        <v>9.912001129000382</v>
      </c>
      <c r="J114">
        <v>9.912001129000382</v>
      </c>
      <c r="L114">
        <v>9.9120011290003838</v>
      </c>
      <c r="N114">
        <v>9.9120011290003838</v>
      </c>
      <c r="P114">
        <v>9.9120011290003855</v>
      </c>
      <c r="R114">
        <v>9.9120011290003855</v>
      </c>
      <c r="T114">
        <v>9.9120011290003838</v>
      </c>
      <c r="V114">
        <v>9.9120011290003855</v>
      </c>
      <c r="X114">
        <v>9.9120011290003855</v>
      </c>
      <c r="Z114">
        <v>9.9120011290003855</v>
      </c>
      <c r="AB114">
        <v>9.9120011290003855</v>
      </c>
      <c r="AD114">
        <v>9.9120011290003873</v>
      </c>
      <c r="AF114">
        <v>9.9120011290003873</v>
      </c>
      <c r="AH114">
        <v>9.9120011290003873</v>
      </c>
      <c r="AJ114">
        <v>9.9120011290003891</v>
      </c>
      <c r="AL114">
        <v>9.9120011290003873</v>
      </c>
      <c r="AN114">
        <v>9.9120011290003891</v>
      </c>
      <c r="AP114">
        <v>9.9120011290003891</v>
      </c>
      <c r="AR114">
        <v>9.9120011290003891</v>
      </c>
      <c r="AT114">
        <v>9.9120011290003891</v>
      </c>
      <c r="AV114">
        <v>9.9120011290003891</v>
      </c>
      <c r="AX114">
        <v>9.9120011290003891</v>
      </c>
    </row>
    <row r="115" spans="1:51" x14ac:dyDescent="0.15">
      <c r="B115" s="18">
        <f>(C113* $F$2 + C117* $H$2)*EXP($H$1*$F$1/$L$1)</f>
        <v>0.9581662706408518</v>
      </c>
      <c r="D115" s="18">
        <f>(E113* $F$2 + E117* $H$2)*EXP($H$1*$F$1/$L$1)</f>
        <v>0.95557636518051636</v>
      </c>
      <c r="F115" s="18">
        <f>(G113* $F$2 + G117* $H$2)*EXP($H$1*$F$1/$L$1)</f>
        <v>0.95302575974606374</v>
      </c>
      <c r="H115" s="18">
        <f>(I113* $F$2 + I117* $H$2)*EXP($H$1*$F$1/$L$1)</f>
        <v>0.95051799136394799</v>
      </c>
      <c r="J115" s="18">
        <f>(K113* $F$2 + K117* $H$2)*EXP($H$1*$F$1/$L$1)</f>
        <v>0.94805686301899539</v>
      </c>
      <c r="L115" s="18">
        <f>(M113* $F$2 + M117* $H$2)*EXP($H$1*$F$1/$L$1)</f>
        <v>0.94564644649252871</v>
      </c>
      <c r="N115" s="18">
        <f>(O113* $F$2 + O117* $H$2)*EXP($H$1*$F$1/$L$1)</f>
        <v>0.94329107622991248</v>
      </c>
      <c r="P115" s="18">
        <f>(Q113* $F$2 + Q117* $H$2)*EXP($H$1*$F$1/$L$1)</f>
        <v>0.94099532957351084</v>
      </c>
      <c r="R115" s="18">
        <f>(S113* $F$2 + S117* $H$2)*EXP($H$1*$F$1/$L$1)</f>
        <v>0.93876398669322114</v>
      </c>
      <c r="T115" s="18">
        <f>(U113* $F$2 + U117* $H$2)*EXP($H$1*$F$1/$L$1)</f>
        <v>0.93660196073400315</v>
      </c>
      <c r="V115" s="18">
        <f>(W113* $F$2 + W117* $H$2)*EXP($H$1*$F$1/$L$1)</f>
        <v>0.93451418479610537</v>
      </c>
      <c r="X115" s="18">
        <f>(Y113* $F$2 + Y117* $H$2)*EXP($H$1*$F$1/$L$1)</f>
        <v>0.93250543705395084</v>
      </c>
      <c r="Z115" s="18">
        <f>(AA113* $F$2 + AA117* $H$2)*EXP($H$1*$F$1/$L$1)</f>
        <v>0.93058007836029655</v>
      </c>
      <c r="AB115" s="18">
        <f>(AC113* $F$2 + AC117* $H$2)*EXP($H$1*$F$1/$L$1)</f>
        <v>0.92874166820882331</v>
      </c>
      <c r="AD115" s="18">
        <f>(AE113* $F$2 + AE117* $H$2)*EXP($H$1*$F$1/$L$1)</f>
        <v>0.92699241626457296</v>
      </c>
      <c r="AF115" s="18">
        <f>(AG113* $F$2 + AG117* $H$2)*EXP($H$1*$F$1/$L$1)</f>
        <v>0.92533242234782154</v>
      </c>
      <c r="AH115" s="18">
        <f>(AI113* $F$2 + AI117* $H$2)*EXP($H$1*$F$1/$L$1)</f>
        <v>0.9237586703738081</v>
      </c>
      <c r="AJ115" s="18">
        <f>(AK113* $F$2 + AK117* $H$2)*EXP($H$1*$F$1/$L$1)</f>
        <v>0.92226380328954249</v>
      </c>
      <c r="AL115" s="18">
        <f>(AM113* $F$2 + AM117* $H$2)*EXP($H$1*$F$1/$L$1)</f>
        <v>0.92083489242537797</v>
      </c>
      <c r="AN115" s="18">
        <f>(AO113* $F$2 + AO117* $H$2)*EXP($H$1*$F$1/$L$1)</f>
        <v>0.91945288945619963</v>
      </c>
      <c r="AP115" s="18">
        <f>(AQ113* $F$2 + AQ117* $H$2)*EXP($H$1*$F$1/$L$1)</f>
        <v>0.91809448096642854</v>
      </c>
      <c r="AR115" s="18">
        <f>(AS113* $F$2 + AS117* $H$2)*EXP($H$1*$F$1/$L$1)</f>
        <v>0.91673956407940427</v>
      </c>
      <c r="AT115" s="18">
        <f>(AU113* $F$2 + AU117* $H$2)*EXP($H$1*$F$1/$L$1)</f>
        <v>0.91538512654821647</v>
      </c>
      <c r="AV115" s="18">
        <f>(AW113* $F$2 + AW117* $H$2)*EXP($H$1*$F$1/$L$1)</f>
        <v>0.9140311682354586</v>
      </c>
      <c r="AX115" s="18">
        <f>(AY113* $F$2 + AY117* $H$2)*EXP($H$1*$F$1/$L$1)</f>
        <v>0.91267768900376056</v>
      </c>
    </row>
    <row r="116" spans="1:51" x14ac:dyDescent="0.15">
      <c r="C116">
        <v>9.8247766381304835</v>
      </c>
      <c r="E116">
        <v>9.8247766381304853</v>
      </c>
      <c r="G116">
        <v>9.8247766381304853</v>
      </c>
      <c r="I116">
        <v>9.8247766381304853</v>
      </c>
      <c r="K116">
        <v>9.8247766381304871</v>
      </c>
      <c r="M116">
        <v>9.8247766381304871</v>
      </c>
      <c r="O116">
        <v>9.8247766381304871</v>
      </c>
      <c r="Q116">
        <v>9.8247766381304888</v>
      </c>
      <c r="S116">
        <v>9.8247766381304871</v>
      </c>
      <c r="U116">
        <v>9.8247766381304888</v>
      </c>
      <c r="W116">
        <v>9.8247766381304888</v>
      </c>
      <c r="Y116">
        <v>9.8247766381304888</v>
      </c>
      <c r="AA116">
        <v>9.8247766381304871</v>
      </c>
      <c r="AC116">
        <v>9.8247766381304888</v>
      </c>
      <c r="AE116">
        <v>9.8247766381304906</v>
      </c>
      <c r="AG116">
        <v>9.8247766381304906</v>
      </c>
      <c r="AI116">
        <v>9.8247766381304906</v>
      </c>
      <c r="AK116">
        <v>9.8247766381304906</v>
      </c>
      <c r="AM116">
        <v>9.8247766381304906</v>
      </c>
      <c r="AO116">
        <v>9.8247766381304906</v>
      </c>
      <c r="AQ116">
        <v>9.8247766381304924</v>
      </c>
      <c r="AS116">
        <v>9.8247766381304906</v>
      </c>
      <c r="AU116">
        <v>9.8247766381304924</v>
      </c>
      <c r="AW116">
        <v>9.8247766381304942</v>
      </c>
      <c r="AY116">
        <v>9.8247766381304942</v>
      </c>
    </row>
    <row r="117" spans="1:51" x14ac:dyDescent="0.15">
      <c r="C117" s="18">
        <f>(D115* $F$2 + D119* $H$2)*EXP($H$1*$F$1/$L$1)</f>
        <v>0.87404123417258717</v>
      </c>
      <c r="E117" s="18">
        <f>(F115* $F$2 + F119* $H$2)*EXP($H$1*$F$1/$L$1)</f>
        <v>0.87118920336231942</v>
      </c>
      <c r="G117" s="18">
        <f>(H115* $F$2 + H119* $H$2)*EXP($H$1*$F$1/$L$1)</f>
        <v>0.86837319929836909</v>
      </c>
      <c r="I117" s="18">
        <f>(J115* $F$2 + J119* $H$2)*EXP($H$1*$F$1/$L$1)</f>
        <v>0.86559736605884885</v>
      </c>
      <c r="K117" s="18">
        <f>(L115* $F$2 + L119* $H$2)*EXP($H$1*$F$1/$L$1)</f>
        <v>0.86286627368067292</v>
      </c>
      <c r="M117" s="18">
        <f>(N115* $F$2 + N119* $H$2)*EXP($H$1*$F$1/$L$1)</f>
        <v>0.86018495444891407</v>
      </c>
      <c r="O117" s="18">
        <f>(P115* $F$2 + P119* $H$2)*EXP($H$1*$F$1/$L$1)</f>
        <v>0.8575589365396592</v>
      </c>
      <c r="Q117" s="18">
        <f>(R115* $F$2 + R119* $H$2)*EXP($H$1*$F$1/$L$1)</f>
        <v>0.85499427104284242</v>
      </c>
      <c r="S117" s="18">
        <f>(T115* $F$2 + T119* $H$2)*EXP($H$1*$F$1/$L$1)</f>
        <v>0.85249754601104455</v>
      </c>
      <c r="U117" s="18">
        <f>(V115* $F$2 + V119* $H$2)*EXP($H$1*$F$1/$L$1)</f>
        <v>0.85007587751037195</v>
      </c>
      <c r="W117" s="18">
        <f>(X115* $F$2 + X119* $H$2)*EXP($H$1*$F$1/$L$1)</f>
        <v>0.84773686200454412</v>
      </c>
      <c r="Y117" s="18">
        <f>(Z115* $F$2 + Z119* $H$2)*EXP($H$1*$F$1/$L$1)</f>
        <v>0.84548846575366299</v>
      </c>
      <c r="AA117" s="18">
        <f>(AB115* $F$2 + AB119* $H$2)*EXP($H$1*$F$1/$L$1)</f>
        <v>0.84333881375981501</v>
      </c>
      <c r="AC117" s="18">
        <f>(AD115* $F$2 + AD119* $H$2)*EXP($H$1*$F$1/$L$1)</f>
        <v>0.84129582112656431</v>
      </c>
      <c r="AE117" s="18">
        <f>(AF115* $F$2 + AF119* $H$2)*EXP($H$1*$F$1/$L$1)</f>
        <v>0.83936658127789143</v>
      </c>
      <c r="AG117" s="18">
        <f>(AH115* $F$2 + AH119* $H$2)*EXP($H$1*$F$1/$L$1)</f>
        <v>0.83755638740223903</v>
      </c>
      <c r="AI117" s="18">
        <f>(AJ115* $F$2 + AJ119* $H$2)*EXP($H$1*$F$1/$L$1)</f>
        <v>0.83586722180407558</v>
      </c>
      <c r="AK117" s="18">
        <f>(AL115* $F$2 + AL119* $H$2)*EXP($H$1*$F$1/$L$1)</f>
        <v>0.83429553357621811</v>
      </c>
      <c r="AM117" s="18">
        <f>(AN115* $F$2 + AN119* $H$2)*EXP($H$1*$F$1/$L$1)</f>
        <v>0.83282924890065491</v>
      </c>
      <c r="AO117" s="18">
        <f>(AP115* $F$2 + AP119* $H$2)*EXP($H$1*$F$1/$L$1)</f>
        <v>0.83144456941428813</v>
      </c>
      <c r="AQ117" s="18">
        <f>(AR115* $F$2 + AR119* $H$2)*EXP($H$1*$F$1/$L$1)</f>
        <v>0.83010520360729378</v>
      </c>
      <c r="AS117" s="18">
        <f>(AT115* $F$2 + AT119* $H$2)*EXP($H$1*$F$1/$L$1)</f>
        <v>0.8287723516268477</v>
      </c>
      <c r="AU117" s="18">
        <f>(AV115* $F$2 + AV119* $H$2)*EXP($H$1*$F$1/$L$1)</f>
        <v>0.82743997347790932</v>
      </c>
      <c r="AW117" s="18">
        <f>(AX115* $F$2 + AX119* $H$2)*EXP($H$1*$F$1/$L$1)</f>
        <v>0.82610806902445422</v>
      </c>
      <c r="AY117" s="16">
        <f>MAX(AY116 - $J$1, 0)</f>
        <v>0.82477663813049418</v>
      </c>
    </row>
    <row r="118" spans="1:51" x14ac:dyDescent="0.15">
      <c r="D118">
        <v>9.7383197129325936</v>
      </c>
      <c r="F118">
        <v>9.7383197129325971</v>
      </c>
      <c r="H118">
        <v>9.7383197129325936</v>
      </c>
      <c r="J118">
        <v>9.7383197129325954</v>
      </c>
      <c r="L118">
        <v>9.7383197129325954</v>
      </c>
      <c r="N118">
        <v>9.7383197129325954</v>
      </c>
      <c r="P118">
        <v>9.7383197129325971</v>
      </c>
      <c r="R118">
        <v>9.7383197129325971</v>
      </c>
      <c r="T118">
        <v>9.7383197129325971</v>
      </c>
      <c r="V118">
        <v>9.7383197129325989</v>
      </c>
      <c r="X118">
        <v>9.7383197129325971</v>
      </c>
      <c r="Z118">
        <v>9.7383197129325971</v>
      </c>
      <c r="AB118">
        <v>9.7383197129325971</v>
      </c>
      <c r="AD118">
        <v>9.7383197129326007</v>
      </c>
      <c r="AF118">
        <v>9.7383197129325989</v>
      </c>
      <c r="AH118">
        <v>9.7383197129326007</v>
      </c>
      <c r="AJ118">
        <v>9.7383197129326007</v>
      </c>
      <c r="AL118">
        <v>9.7383197129326007</v>
      </c>
      <c r="AN118">
        <v>9.7383197129326007</v>
      </c>
      <c r="AP118">
        <v>9.7383197129326025</v>
      </c>
      <c r="AR118">
        <v>9.7383197129326007</v>
      </c>
      <c r="AT118">
        <v>9.7383197129326025</v>
      </c>
      <c r="AV118">
        <v>9.7383197129326007</v>
      </c>
      <c r="AX118">
        <v>9.7383197129326025</v>
      </c>
    </row>
    <row r="119" spans="1:51" x14ac:dyDescent="0.15">
      <c r="D119" s="18">
        <f>(E117* $F$2 + E121* $H$2)*EXP($H$1*$F$1/$L$1)</f>
        <v>0.79196298012417021</v>
      </c>
      <c r="F119" s="18">
        <f>(G117* $F$2 + G121* $H$2)*EXP($H$1*$F$1/$L$1)</f>
        <v>0.78880827848358326</v>
      </c>
      <c r="H119" s="18">
        <f>(I117* $F$2 + I121* $H$2)*EXP($H$1*$F$1/$L$1)</f>
        <v>0.78568275255283315</v>
      </c>
      <c r="J119" s="18">
        <f>(K117* $F$2 + K121* $H$2)*EXP($H$1*$F$1/$L$1)</f>
        <v>0.78259088879778538</v>
      </c>
      <c r="L119" s="18">
        <f>(M117* $F$2 + M121* $H$2)*EXP($H$1*$F$1/$L$1)</f>
        <v>0.77953775758777322</v>
      </c>
      <c r="N119" s="18">
        <f>(O117* $F$2 + O121* $H$2)*EXP($H$1*$F$1/$L$1)</f>
        <v>0.77652909212780363</v>
      </c>
      <c r="P119" s="18">
        <f>(Q117* $F$2 + Q121* $H$2)*EXP($H$1*$F$1/$L$1)</f>
        <v>0.7735713757911139</v>
      </c>
      <c r="R119" s="18">
        <f>(S117* $F$2 + S121* $H$2)*EXP($H$1*$F$1/$L$1)</f>
        <v>0.77067193658769517</v>
      </c>
      <c r="T119" s="18">
        <f>(U117* $F$2 + U121* $H$2)*EXP($H$1*$F$1/$L$1)</f>
        <v>0.76783904555876548</v>
      </c>
      <c r="V119" s="18">
        <f>(W117* $F$2 + W121* $H$2)*EXP($H$1*$F$1/$L$1)</f>
        <v>0.76508201245283958</v>
      </c>
      <c r="X119" s="18">
        <f>(Y117* $F$2 + Y121* $H$2)*EXP($H$1*$F$1/$L$1)</f>
        <v>0.76241126605774756</v>
      </c>
      <c r="Z119" s="18">
        <f>(AA117* $F$2 + AA121* $H$2)*EXP($H$1*$F$1/$L$1)</f>
        <v>0.7598383962150761</v>
      </c>
      <c r="AB119" s="18">
        <f>(AC117* $F$2 + AC121* $H$2)*EXP($H$1*$F$1/$L$1)</f>
        <v>0.75737611669510885</v>
      </c>
      <c r="AD119" s="18">
        <f>(AE117* $F$2 + AE121* $H$2)*EXP($H$1*$F$1/$L$1)</f>
        <v>0.75503807738785611</v>
      </c>
      <c r="AF119" s="18">
        <f>(AG117* $F$2 + AG121* $H$2)*EXP($H$1*$F$1/$L$1)</f>
        <v>0.75283840162200599</v>
      </c>
      <c r="AH119" s="18">
        <f>(AI117* $F$2 + AI121* $H$2)*EXP($H$1*$F$1/$L$1)</f>
        <v>0.75079073538218766</v>
      </c>
      <c r="AJ119" s="18">
        <f>(AK117* $F$2 + AK121* $H$2)*EXP($H$1*$F$1/$L$1)</f>
        <v>0.7489064497459561</v>
      </c>
      <c r="AL119" s="18">
        <f>(AM117* $F$2 + AM121* $H$2)*EXP($H$1*$F$1/$L$1)</f>
        <v>0.7471914218819159</v>
      </c>
      <c r="AN119" s="18">
        <f>(AO117* $F$2 + AO121* $H$2)*EXP($H$1*$F$1/$L$1)</f>
        <v>0.74564059108081182</v>
      </c>
      <c r="AP119" s="18">
        <f>(AQ117* $F$2 + AQ121* $H$2)*EXP($H$1*$F$1/$L$1)</f>
        <v>0.74422967443582522</v>
      </c>
      <c r="AR119" s="18">
        <f>(AS117* $F$2 + AS121* $H$2)*EXP($H$1*$F$1/$L$1)</f>
        <v>0.74290611026574349</v>
      </c>
      <c r="AT119" s="18">
        <f>(AU117* $F$2 + AU121* $H$2)*EXP($H$1*$F$1/$L$1)</f>
        <v>0.74159512566616648</v>
      </c>
      <c r="AV119" s="18">
        <f>(AW117* $F$2 + AW121* $H$2)*EXP($H$1*$F$1/$L$1)</f>
        <v>0.74028460942314434</v>
      </c>
      <c r="AX119" s="18">
        <f>(AY117* $F$2 + AY121* $H$2)*EXP($H$1*$F$1/$L$1)</f>
        <v>0.73897456140202245</v>
      </c>
    </row>
    <row r="120" spans="1:51" x14ac:dyDescent="0.15">
      <c r="E120">
        <v>9.6526235989154561</v>
      </c>
      <c r="G120">
        <v>9.6526235989154561</v>
      </c>
      <c r="I120">
        <v>9.6526235989154561</v>
      </c>
      <c r="K120">
        <v>9.6526235989154578</v>
      </c>
      <c r="M120">
        <v>9.6526235989154578</v>
      </c>
      <c r="O120">
        <v>9.6526235989154578</v>
      </c>
      <c r="Q120">
        <v>9.6526235989154578</v>
      </c>
      <c r="S120">
        <v>9.6526235989154578</v>
      </c>
      <c r="U120">
        <v>9.6526235989154596</v>
      </c>
      <c r="W120">
        <v>9.6526235989154578</v>
      </c>
      <c r="Y120">
        <v>9.6526235989154578</v>
      </c>
      <c r="AA120">
        <v>9.6526235989154578</v>
      </c>
      <c r="AC120">
        <v>9.6526235989154596</v>
      </c>
      <c r="AE120">
        <v>9.6526235989154596</v>
      </c>
      <c r="AG120">
        <v>9.6526235989154614</v>
      </c>
      <c r="AI120">
        <v>9.6526235989154614</v>
      </c>
      <c r="AK120">
        <v>9.6526235989154614</v>
      </c>
      <c r="AM120">
        <v>9.6526235989154614</v>
      </c>
      <c r="AO120">
        <v>9.6526235989154632</v>
      </c>
      <c r="AQ120">
        <v>9.6526235989154614</v>
      </c>
      <c r="AS120">
        <v>9.6526235989154614</v>
      </c>
      <c r="AU120">
        <v>9.6526235989154632</v>
      </c>
      <c r="AW120">
        <v>9.652623598915465</v>
      </c>
      <c r="AY120">
        <v>9.652623598915465</v>
      </c>
    </row>
    <row r="121" spans="1:51" x14ac:dyDescent="0.15">
      <c r="E121" s="18">
        <f>(F119* $F$2 + F123* $H$2)*EXP($H$1*$F$1/$L$1)</f>
        <v>0.71221619870502417</v>
      </c>
      <c r="G121" s="18">
        <f>(H119* $F$2 + H123* $H$2)*EXP($H$1*$F$1/$L$1)</f>
        <v>0.70872139376351517</v>
      </c>
      <c r="I121" s="18">
        <f>(J119* $F$2 + J123* $H$2)*EXP($H$1*$F$1/$L$1)</f>
        <v>0.70524470729178701</v>
      </c>
      <c r="K121" s="18">
        <f>(L119* $F$2 + L123* $H$2)*EXP($H$1*$F$1/$L$1)</f>
        <v>0.7017905411779678</v>
      </c>
      <c r="M121" s="18">
        <f>(N119* $F$2 + N123* $H$2)*EXP($H$1*$F$1/$L$1)</f>
        <v>0.69836400344271077</v>
      </c>
      <c r="O121" s="18">
        <f>(P119* $F$2 + P123* $H$2)*EXP($H$1*$F$1/$L$1)</f>
        <v>0.69497103269169558</v>
      </c>
      <c r="Q121" s="18">
        <f>(R119* $F$2 + R123* $H$2)*EXP($H$1*$F$1/$L$1)</f>
        <v>0.69161854606767226</v>
      </c>
      <c r="S121" s="18">
        <f>(T119* $F$2 + T123* $H$2)*EXP($H$1*$F$1/$L$1)</f>
        <v>0.6883146145545187</v>
      </c>
      <c r="U121" s="18">
        <f>(V119* $F$2 + V123* $H$2)*EXP($H$1*$F$1/$L$1)</f>
        <v>0.68506866927379995</v>
      </c>
      <c r="W121" s="18">
        <f>(X119* $F$2 + X123* $H$2)*EXP($H$1*$F$1/$L$1)</f>
        <v>0.68189174120281426</v>
      </c>
      <c r="Y121" s="18">
        <f>(Z119* $F$2 + Z123* $H$2)*EXP($H$1*$F$1/$L$1)</f>
        <v>0.6787967334451237</v>
      </c>
      <c r="AA121" s="18">
        <f>(AB119* $F$2 + AB123* $H$2)*EXP($H$1*$F$1/$L$1)</f>
        <v>0.67579871765431754</v>
      </c>
      <c r="AC121" s="18">
        <f>(AD119* $F$2 + AD123* $H$2)*EXP($H$1*$F$1/$L$1)</f>
        <v>0.67291523019195676</v>
      </c>
      <c r="AE121" s="18">
        <f>(AF119* $F$2 + AF123* $H$2)*EXP($H$1*$F$1/$L$1)</f>
        <v>0.67016651056879784</v>
      </c>
      <c r="AG121" s="18">
        <f>(AH119* $F$2 + AH123* $H$2)*EXP($H$1*$F$1/$L$1)</f>
        <v>0.6675755574399137</v>
      </c>
      <c r="AI121" s="18">
        <f>(AJ119* $F$2 + AJ123* $H$2)*EXP($H$1*$F$1/$L$1)</f>
        <v>0.66516774078402319</v>
      </c>
      <c r="AK121" s="18">
        <f>(AL119* $F$2 + AL123* $H$2)*EXP($H$1*$F$1/$L$1)</f>
        <v>0.66296943158920385</v>
      </c>
      <c r="AM121" s="18">
        <f>(AN119* $F$2 + AN123* $H$2)*EXP($H$1*$F$1/$L$1)</f>
        <v>0.6610045527323799</v>
      </c>
      <c r="AO121" s="18">
        <f>(AP119* $F$2 + AP123* $H$2)*EXP($H$1*$F$1/$L$1)</f>
        <v>0.65928688143394554</v>
      </c>
      <c r="AQ121" s="18">
        <f>(AR119* $F$2 + AR123* $H$2)*EXP($H$1*$F$1/$L$1)</f>
        <v>0.65780421029178682</v>
      </c>
      <c r="AS121" s="18">
        <f>(AT119* $F$2 + AT123* $H$2)*EXP($H$1*$F$1/$L$1)</f>
        <v>0.65649014920225746</v>
      </c>
      <c r="AU121" s="18">
        <f>(AV119* $F$2 + AV123* $H$2)*EXP($H$1*$F$1/$L$1)</f>
        <v>0.65520083622055514</v>
      </c>
      <c r="AW121" s="18">
        <f>(AX119* $F$2 + AX123* $H$2)*EXP($H$1*$F$1/$L$1)</f>
        <v>0.65391198616939028</v>
      </c>
      <c r="AY121" s="16">
        <f>MAX(AY120 - $J$1, 0)</f>
        <v>0.65262359891546495</v>
      </c>
    </row>
    <row r="122" spans="1:51" x14ac:dyDescent="0.15">
      <c r="F122">
        <v>9.5676816010265746</v>
      </c>
      <c r="H122">
        <v>9.5676816010265728</v>
      </c>
      <c r="J122">
        <v>9.5676816010265728</v>
      </c>
      <c r="L122">
        <v>9.5676816010265728</v>
      </c>
      <c r="N122">
        <v>9.5676816010265728</v>
      </c>
      <c r="P122">
        <v>9.5676816010265746</v>
      </c>
      <c r="R122">
        <v>9.5676816010265746</v>
      </c>
      <c r="T122">
        <v>9.5676816010265764</v>
      </c>
      <c r="V122">
        <v>9.5676816010265746</v>
      </c>
      <c r="X122">
        <v>9.5676816010265746</v>
      </c>
      <c r="Z122">
        <v>9.5676816010265764</v>
      </c>
      <c r="AB122">
        <v>9.5676816010265764</v>
      </c>
      <c r="AD122">
        <v>9.5676816010265782</v>
      </c>
      <c r="AF122">
        <v>9.5676816010265782</v>
      </c>
      <c r="AH122">
        <v>9.5676816010265782</v>
      </c>
      <c r="AJ122">
        <v>9.5676816010265782</v>
      </c>
      <c r="AL122">
        <v>9.5676816010265764</v>
      </c>
      <c r="AN122">
        <v>9.5676816010265782</v>
      </c>
      <c r="AP122">
        <v>9.5676816010265782</v>
      </c>
      <c r="AR122">
        <v>9.5676816010265782</v>
      </c>
      <c r="AT122">
        <v>9.5676816010265799</v>
      </c>
      <c r="AV122">
        <v>9.5676816010265799</v>
      </c>
      <c r="AX122">
        <v>9.5676816010265799</v>
      </c>
    </row>
    <row r="123" spans="1:51" x14ac:dyDescent="0.15">
      <c r="F123" s="18">
        <f>(G121* $F$2 + G125* $H$2)*EXP($H$1*$F$1/$L$1)</f>
        <v>0.63512756291673866</v>
      </c>
      <c r="H123" s="18">
        <f>(I121* $F$2 + I125* $H$2)*EXP($H$1*$F$1/$L$1)</f>
        <v>0.63126195324136591</v>
      </c>
      <c r="J123" s="18">
        <f>(K121* $F$2 + K125* $H$2)*EXP($H$1*$F$1/$L$1)</f>
        <v>0.62739883340205138</v>
      </c>
      <c r="L123" s="18">
        <f>(M121* $F$2 + M125* $H$2)*EXP($H$1*$F$1/$L$1)</f>
        <v>0.62354193269924241</v>
      </c>
      <c r="N123" s="18">
        <f>(O121* $F$2 + O125* $H$2)*EXP($H$1*$F$1/$L$1)</f>
        <v>0.61969573000450362</v>
      </c>
      <c r="P123" s="18">
        <f>(Q121* $F$2 + Q125* $H$2)*EXP($H$1*$F$1/$L$1)</f>
        <v>0.61586561551476138</v>
      </c>
      <c r="R123" s="18">
        <f>(S121* $F$2 + S125* $H$2)*EXP($H$1*$F$1/$L$1)</f>
        <v>0.61205809245373366</v>
      </c>
      <c r="T123" s="18">
        <f>(U121* $F$2 + U125* $H$2)*EXP($H$1*$F$1/$L$1)</f>
        <v>0.60828102967258624</v>
      </c>
      <c r="V123" s="18">
        <f>(W121* $F$2 + W125* $H$2)*EXP($H$1*$F$1/$L$1)</f>
        <v>0.60454397912937319</v>
      </c>
      <c r="X123" s="18">
        <f>(Y121* $F$2 + Y125* $H$2)*EXP($H$1*$F$1/$L$1)</f>
        <v>0.60085857581064073</v>
      </c>
      <c r="Z123" s="18">
        <f>(AA121* $F$2 + AA125* $H$2)*EXP($H$1*$F$1/$L$1)</f>
        <v>0.59723904144835616</v>
      </c>
      <c r="AB123" s="18">
        <f>(AC121* $F$2 + AC125* $H$2)*EXP($H$1*$F$1/$L$1)</f>
        <v>0.59370281622906562</v>
      </c>
      <c r="AD123" s="18">
        <f>(AE121* $F$2 + AE125* $H$2)*EXP($H$1*$F$1/$L$1)</f>
        <v>0.59027134145523497</v>
      </c>
      <c r="AF123" s="18">
        <f>(AG121* $F$2 + AG125* $H$2)*EXP($H$1*$F$1/$L$1)</f>
        <v>0.5869710028072328</v>
      </c>
      <c r="AH123" s="18">
        <f>(AI121* $F$2 + AI125* $H$2)*EXP($H$1*$F$1/$L$1)</f>
        <v>0.58383419846305229</v>
      </c>
      <c r="AJ123" s="18">
        <f>(AK121* $F$2 + AK125* $H$2)*EXP($H$1*$F$1/$L$1)</f>
        <v>0.580900368565201</v>
      </c>
      <c r="AL123" s="18">
        <f>(AM121* $F$2 + AM125* $H$2)*EXP($H$1*$F$1/$L$1)</f>
        <v>0.57821648359654387</v>
      </c>
      <c r="AN123" s="18">
        <f>(AO121* $F$2 + AO125* $H$2)*EXP($H$1*$F$1/$L$1)</f>
        <v>0.57583560114849808</v>
      </c>
      <c r="AP123" s="18">
        <f>(AQ121* $F$2 + AQ125* $H$2)*EXP($H$1*$F$1/$L$1)</f>
        <v>0.57380975923500843</v>
      </c>
      <c r="AR123" s="18">
        <f>(AS121* $F$2 + AS125* $H$2)*EXP($H$1*$F$1/$L$1)</f>
        <v>0.5721673208556618</v>
      </c>
      <c r="AT123" s="18">
        <f>(AU121* $F$2 + AU125* $H$2)*EXP($H$1*$F$1/$L$1)</f>
        <v>0.57085033160550225</v>
      </c>
      <c r="AV123" s="18">
        <f>(AW121* $F$2 + AW125* $H$2)*EXP($H$1*$F$1/$L$1)</f>
        <v>0.56958249622566515</v>
      </c>
      <c r="AX123" s="18">
        <f>(AY121* $F$2 + AY125* $H$2)*EXP($H$1*$F$1/$L$1)</f>
        <v>0.56831511839884608</v>
      </c>
    </row>
    <row r="124" spans="1:51" x14ac:dyDescent="0.15">
      <c r="G124">
        <v>9.4834870831291571</v>
      </c>
      <c r="I124">
        <v>9.4834870831291571</v>
      </c>
      <c r="K124">
        <v>9.4834870831291589</v>
      </c>
      <c r="M124">
        <v>9.4834870831291589</v>
      </c>
      <c r="O124">
        <v>9.4834870831291571</v>
      </c>
      <c r="Q124">
        <v>9.4834870831291589</v>
      </c>
      <c r="S124">
        <v>9.4834870831291607</v>
      </c>
      <c r="U124">
        <v>9.4834870831291607</v>
      </c>
      <c r="W124">
        <v>9.4834870831291607</v>
      </c>
      <c r="Y124">
        <v>9.4834870831291607</v>
      </c>
      <c r="AA124">
        <v>9.4834870831291589</v>
      </c>
      <c r="AC124">
        <v>9.4834870831291607</v>
      </c>
      <c r="AE124">
        <v>9.4834870831291607</v>
      </c>
      <c r="AG124">
        <v>9.4834870831291624</v>
      </c>
      <c r="AI124">
        <v>9.4834870831291624</v>
      </c>
      <c r="AK124">
        <v>9.4834870831291624</v>
      </c>
      <c r="AM124">
        <v>9.4834870831291624</v>
      </c>
      <c r="AO124">
        <v>9.4834870831291624</v>
      </c>
      <c r="AQ124">
        <v>9.4834870831291624</v>
      </c>
      <c r="AS124">
        <v>9.4834870831291624</v>
      </c>
      <c r="AU124">
        <v>9.4834870831291642</v>
      </c>
      <c r="AW124">
        <v>9.483487083129166</v>
      </c>
      <c r="AY124">
        <v>9.483487083129166</v>
      </c>
    </row>
    <row r="125" spans="1:51" x14ac:dyDescent="0.15">
      <c r="G125" s="18">
        <f>(H123* $F$2 + H127* $H$2)*EXP($H$1*$F$1/$L$1)</f>
        <v>0.56106278130039999</v>
      </c>
      <c r="I125" s="18">
        <f>(J123* $F$2 + J127* $H$2)*EXP($H$1*$F$1/$L$1)</f>
        <v>0.55680666470838291</v>
      </c>
      <c r="K125" s="18">
        <f>(L123* $F$2 + L127* $H$2)*EXP($H$1*$F$1/$L$1)</f>
        <v>0.55253290060186444</v>
      </c>
      <c r="M125" s="18">
        <f>(N123* $F$2 + N127* $H$2)*EXP($H$1*$F$1/$L$1)</f>
        <v>0.54824383176205271</v>
      </c>
      <c r="O125" s="18">
        <f>(P123* $F$2 + P127* $H$2)*EXP($H$1*$F$1/$L$1)</f>
        <v>0.54394246900261412</v>
      </c>
      <c r="Q125" s="18">
        <f>(R123* $F$2 + R127* $H$2)*EXP($H$1*$F$1/$L$1)</f>
        <v>0.53963266677923905</v>
      </c>
      <c r="S125" s="18">
        <f>(T123* $F$2 + T127* $H$2)*EXP($H$1*$F$1/$L$1)</f>
        <v>0.53531935140354014</v>
      </c>
      <c r="U125" s="18">
        <f>(V123* $F$2 + V127* $H$2)*EXP($H$1*$F$1/$L$1)</f>
        <v>0.53100882016238105</v>
      </c>
      <c r="W125" s="18">
        <f>(X123* $F$2 + X127* $H$2)*EXP($H$1*$F$1/$L$1)</f>
        <v>0.52670913693243193</v>
      </c>
      <c r="Y125" s="18">
        <f>(Z123* $F$2 + Z127* $H$2)*EXP($H$1*$F$1/$L$1)</f>
        <v>0.52243066038154029</v>
      </c>
      <c r="AA125" s="18">
        <f>(AB123* $F$2 + AB127* $H$2)*EXP($H$1*$F$1/$L$1)</f>
        <v>0.51818675601802078</v>
      </c>
      <c r="AC125" s="18">
        <f>(AD123* $F$2 + AD127* $H$2)*EXP($H$1*$F$1/$L$1)</f>
        <v>0.51399476515622111</v>
      </c>
      <c r="AE125" s="18">
        <f>(AF123* $F$2 + AF127* $H$2)*EXP($H$1*$F$1/$L$1)</f>
        <v>0.50987733459390172</v>
      </c>
      <c r="AG125" s="18">
        <f>(AH123* $F$2 + AH127* $H$2)*EXP($H$1*$F$1/$L$1)</f>
        <v>0.5058642517410944</v>
      </c>
      <c r="AI125" s="18">
        <f>(AJ123* $F$2 + AJ127* $H$2)*EXP($H$1*$F$1/$L$1)</f>
        <v>0.50199497628863399</v>
      </c>
      <c r="AK125" s="18">
        <f>(AL123* $F$2 + AL127* $H$2)*EXP($H$1*$F$1/$L$1)</f>
        <v>0.49832208208856127</v>
      </c>
      <c r="AM125" s="18">
        <f>(AN123* $F$2 + AN127* $H$2)*EXP($H$1*$F$1/$L$1)</f>
        <v>0.49491570390360867</v>
      </c>
      <c r="AO125" s="18">
        <f>(AP123* $F$2 + AP127* $H$2)*EXP($H$1*$F$1/$L$1)</f>
        <v>0.49186838192851784</v>
      </c>
      <c r="AQ125" s="18">
        <f>(AR123* $F$2 + AR127* $H$2)*EXP($H$1*$F$1/$L$1)</f>
        <v>0.48929673471044038</v>
      </c>
      <c r="AS125" s="18">
        <f>(AT123* $F$2 + AT127* $H$2)*EXP($H$1*$F$1/$L$1)</f>
        <v>0.48732437866776679</v>
      </c>
      <c r="AU125" s="18">
        <f>(AV123* $F$2 + AV127* $H$2)*EXP($H$1*$F$1/$L$1)</f>
        <v>0.48597973103077463</v>
      </c>
      <c r="AW125" s="18">
        <f>(AX123* $F$2 + AX127* $H$2)*EXP($H$1*$F$1/$L$1)</f>
        <v>0.48473318096818796</v>
      </c>
      <c r="AY125" s="16">
        <f>MAX(AY124 - $J$1, 0)</f>
        <v>0.483487083129166</v>
      </c>
    </row>
    <row r="126" spans="1:51" x14ac:dyDescent="0.15">
      <c r="H126">
        <v>9.4000334674836736</v>
      </c>
      <c r="J126">
        <v>9.4000334674836736</v>
      </c>
      <c r="L126">
        <v>9.4000334674836754</v>
      </c>
      <c r="N126">
        <v>9.4000334674836736</v>
      </c>
      <c r="P126">
        <v>9.4000334674836754</v>
      </c>
      <c r="R126">
        <v>9.4000334674836772</v>
      </c>
      <c r="T126">
        <v>9.4000334674836754</v>
      </c>
      <c r="V126">
        <v>9.4000334674836772</v>
      </c>
      <c r="X126">
        <v>9.4000334674836772</v>
      </c>
      <c r="Z126">
        <v>9.4000334674836772</v>
      </c>
      <c r="AB126">
        <v>9.4000334674836772</v>
      </c>
      <c r="AD126">
        <v>9.400033467483679</v>
      </c>
      <c r="AF126">
        <v>9.400033467483679</v>
      </c>
      <c r="AH126">
        <v>9.400033467483679</v>
      </c>
      <c r="AJ126">
        <v>9.400033467483679</v>
      </c>
      <c r="AL126">
        <v>9.400033467483679</v>
      </c>
      <c r="AN126">
        <v>9.400033467483679</v>
      </c>
      <c r="AP126">
        <v>9.400033467483679</v>
      </c>
      <c r="AR126">
        <v>9.4000334674836807</v>
      </c>
      <c r="AT126">
        <v>9.4000334674836825</v>
      </c>
      <c r="AV126">
        <v>9.4000334674836807</v>
      </c>
      <c r="AX126">
        <v>9.4000334674836807</v>
      </c>
    </row>
    <row r="127" spans="1:51" x14ac:dyDescent="0.15">
      <c r="H127" s="18">
        <f>(I125* $F$2 + I129* $H$2)*EXP($H$1*$F$1/$L$1)</f>
        <v>0.49041999285147247</v>
      </c>
      <c r="J127" s="18">
        <f>(K125* $F$2 + K129* $H$2)*EXP($H$1*$F$1/$L$1)</f>
        <v>0.48576932307339193</v>
      </c>
      <c r="L127" s="18">
        <f>(M125* $F$2 + M129* $H$2)*EXP($H$1*$F$1/$L$1)</f>
        <v>0.48107701442542428</v>
      </c>
      <c r="N127" s="18">
        <f>(O125* $F$2 + O129* $H$2)*EXP($H$1*$F$1/$L$1)</f>
        <v>0.47634326194567855</v>
      </c>
      <c r="P127" s="18">
        <f>(Q125* $F$2 + Q129* $H$2)*EXP($H$1*$F$1/$L$1)</f>
        <v>0.47156868403433161</v>
      </c>
      <c r="R127" s="18">
        <f>(S125* $F$2 + S129* $H$2)*EXP($H$1*$F$1/$L$1)</f>
        <v>0.46675447181057256</v>
      </c>
      <c r="T127" s="18">
        <f>(U125* $F$2 + U129* $H$2)*EXP($H$1*$F$1/$L$1)</f>
        <v>0.46190259278145923</v>
      </c>
      <c r="V127" s="18">
        <f>(W125* $F$2 + W129* $H$2)*EXP($H$1*$F$1/$L$1)</f>
        <v>0.45701607146601303</v>
      </c>
      <c r="X127" s="18">
        <f>(Y125* $F$2 + Y129* $H$2)*EXP($H$1*$F$1/$L$1)</f>
        <v>0.45209938063023974</v>
      </c>
      <c r="Z127" s="18">
        <f>(AA125* $F$2 + AA129* $H$2)*EXP($H$1*$F$1/$L$1)</f>
        <v>0.44715899403694759</v>
      </c>
      <c r="AB127" s="18">
        <f>(AC125* $F$2 + AC129* $H$2)*EXP($H$1*$F$1/$L$1)</f>
        <v>0.44220417917315202</v>
      </c>
      <c r="AD127" s="18">
        <f>(AE125* $F$2 + AE129* $H$2)*EXP($H$1*$F$1/$L$1)</f>
        <v>0.4372481533891433</v>
      </c>
      <c r="AF127" s="18">
        <f>(AG125* $F$2 + AG129* $H$2)*EXP($H$1*$F$1/$L$1)</f>
        <v>0.43230980187946283</v>
      </c>
      <c r="AH127" s="18">
        <f>(AI125* $F$2 + AI129* $H$2)*EXP($H$1*$F$1/$L$1)</f>
        <v>0.42741628366964446</v>
      </c>
      <c r="AJ127" s="18">
        <f>(AK125* $F$2 + AK129* $H$2)*EXP($H$1*$F$1/$L$1)</f>
        <v>0.42260707315738205</v>
      </c>
      <c r="AL127" s="18">
        <f>(AM125* $F$2 + AM129* $H$2)*EXP($H$1*$F$1/$L$1)</f>
        <v>0.41794037077202767</v>
      </c>
      <c r="AN127" s="18">
        <f>(AO125* $F$2 + AO129* $H$2)*EXP($H$1*$F$1/$L$1)</f>
        <v>0.41350347046932723</v>
      </c>
      <c r="AP127" s="18">
        <f>(AQ125* $F$2 + AQ129* $H$2)*EXP($H$1*$F$1/$L$1)</f>
        <v>0.40942961840606695</v>
      </c>
      <c r="AR127" s="18">
        <f>(AS125* $F$2 + AS129* $H$2)*EXP($H$1*$F$1/$L$1)</f>
        <v>0.40592414337943694</v>
      </c>
      <c r="AT127" s="18">
        <f>(AU125* $F$2 + AU129* $H$2)*EXP($H$1*$F$1/$L$1)</f>
        <v>0.40329318268091557</v>
      </c>
      <c r="AV127" s="18">
        <f>(AW125* $F$2 + AW129* $H$2)*EXP($H$1*$F$1/$L$1)</f>
        <v>0.40187148284345486</v>
      </c>
      <c r="AX127" s="18">
        <f>(AY125* $F$2 + AY129* $H$2)*EXP($H$1*$F$1/$L$1)</f>
        <v>0.40064602752944861</v>
      </c>
    </row>
    <row r="128" spans="1:51" x14ac:dyDescent="0.15">
      <c r="I128">
        <v>9.3173142342339563</v>
      </c>
      <c r="K128">
        <v>9.3173142342339581</v>
      </c>
      <c r="M128">
        <v>9.3173142342339563</v>
      </c>
      <c r="O128">
        <v>9.3173142342339563</v>
      </c>
      <c r="Q128">
        <v>9.3173142342339581</v>
      </c>
      <c r="S128">
        <v>9.3173142342339563</v>
      </c>
      <c r="U128">
        <v>9.3173142342339581</v>
      </c>
      <c r="W128">
        <v>9.3173142342339581</v>
      </c>
      <c r="Y128">
        <v>9.3173142342339599</v>
      </c>
      <c r="AA128">
        <v>9.3173142342339581</v>
      </c>
      <c r="AC128">
        <v>9.3173142342339599</v>
      </c>
      <c r="AE128">
        <v>9.3173142342339599</v>
      </c>
      <c r="AG128">
        <v>9.3173142342339599</v>
      </c>
      <c r="AI128">
        <v>9.3173142342339599</v>
      </c>
      <c r="AK128">
        <v>9.3173142342339617</v>
      </c>
      <c r="AM128">
        <v>9.3173142342339599</v>
      </c>
      <c r="AO128">
        <v>9.3173142342339617</v>
      </c>
      <c r="AQ128">
        <v>9.3173142342339617</v>
      </c>
      <c r="AS128">
        <v>9.3173142342339617</v>
      </c>
      <c r="AU128">
        <v>9.3173142342339634</v>
      </c>
      <c r="AW128">
        <v>9.3173142342339634</v>
      </c>
      <c r="AY128">
        <v>9.3173142342339634</v>
      </c>
    </row>
    <row r="129" spans="9:51" x14ac:dyDescent="0.15">
      <c r="I129" s="18">
        <f>(J127* $F$2 + J131* $H$2)*EXP($H$1*$F$1/$L$1)</f>
        <v>0.42361883183659332</v>
      </c>
      <c r="K129" s="18">
        <f>(L127* $F$2 + L131* $H$2)*EXP($H$1*$F$1/$L$1)</f>
        <v>0.41858983497015356</v>
      </c>
      <c r="M129" s="18">
        <f>(N127* $F$2 + N131* $H$2)*EXP($H$1*$F$1/$L$1)</f>
        <v>0.41349273027826139</v>
      </c>
      <c r="O129" s="18">
        <f>(P127* $F$2 + P131* $H$2)*EXP($H$1*$F$1/$L$1)</f>
        <v>0.40832488202552492</v>
      </c>
      <c r="Q129" s="18">
        <f>(R127* $F$2 + R131* $H$2)*EXP($H$1*$F$1/$L$1)</f>
        <v>0.40308365527067408</v>
      </c>
      <c r="S129" s="18">
        <f>(T127* $F$2 + T131* $H$2)*EXP($H$1*$F$1/$L$1)</f>
        <v>0.3977664859284944</v>
      </c>
      <c r="U129" s="18">
        <f>(V127* $F$2 + V131* $H$2)*EXP($H$1*$F$1/$L$1)</f>
        <v>0.39237098845510643</v>
      </c>
      <c r="W129" s="18">
        <f>(X127* $F$2 + X131* $H$2)*EXP($H$1*$F$1/$L$1)</f>
        <v>0.3868951208349426</v>
      </c>
      <c r="Y129" s="18">
        <f>(Z127* $F$2 + Z131* $H$2)*EXP($H$1*$F$1/$L$1)</f>
        <v>0.38133743807203724</v>
      </c>
      <c r="AA129" s="18">
        <f>(AB127* $F$2 + AB131* $H$2)*EXP($H$1*$F$1/$L$1)</f>
        <v>0.3756974847239884</v>
      </c>
      <c r="AC129" s="18">
        <f>(AD127* $F$2 + AD131* $H$2)*EXP($H$1*$F$1/$L$1)</f>
        <v>0.369976410354664</v>
      </c>
      <c r="AE129" s="18">
        <f>(AF127* $F$2 + AF131* $H$2)*EXP($H$1*$F$1/$L$1)</f>
        <v>0.364177951067234</v>
      </c>
      <c r="AG129" s="18">
        <f>(AH127* $F$2 + AH131* $H$2)*EXP($H$1*$F$1/$L$1)</f>
        <v>0.35831002949899243</v>
      </c>
      <c r="AI129" s="18">
        <f>(AJ127* $F$2 + AJ131* $H$2)*EXP($H$1*$F$1/$L$1)</f>
        <v>0.35238743519490717</v>
      </c>
      <c r="AK129" s="18">
        <f>(AL127* $F$2 + AL131* $H$2)*EXP($H$1*$F$1/$L$1)</f>
        <v>0.34643646849185927</v>
      </c>
      <c r="AM129" s="18">
        <f>(AN127* $F$2 + AN131* $H$2)*EXP($H$1*$F$1/$L$1)</f>
        <v>0.34050332472823469</v>
      </c>
      <c r="AO129" s="18">
        <f>(AP127* $F$2 + AP131* $H$2)*EXP($H$1*$F$1/$L$1)</f>
        <v>0.33467001278234976</v>
      </c>
      <c r="AQ129" s="18">
        <f>(AR127* $F$2 + AR131* $H$2)*EXP($H$1*$F$1/$L$1)</f>
        <v>0.32908647814202768</v>
      </c>
      <c r="AS129" s="18">
        <f>(AT127* $F$2 + AT131* $H$2)*EXP($H$1*$F$1/$L$1)</f>
        <v>0.32404017077308916</v>
      </c>
      <c r="AU129" s="18">
        <f>(AV127* $F$2 + AV131* $H$2)*EXP($H$1*$F$1/$L$1)</f>
        <v>0.32011638649740987</v>
      </c>
      <c r="AW129" s="18">
        <f>(AX127* $F$2 + AX131* $H$2)*EXP($H$1*$F$1/$L$1)</f>
        <v>0.31851878366742797</v>
      </c>
      <c r="AY129" s="16">
        <f>MAX(AY128 - $J$1, 0)</f>
        <v>0.31731423423396343</v>
      </c>
    </row>
    <row r="130" spans="9:51" x14ac:dyDescent="0.15">
      <c r="J130">
        <v>9.2353229208978309</v>
      </c>
      <c r="L130">
        <v>9.2353229208978291</v>
      </c>
      <c r="N130">
        <v>9.2353229208978291</v>
      </c>
      <c r="P130">
        <v>9.2353229208978327</v>
      </c>
      <c r="R130">
        <v>9.2353229208978309</v>
      </c>
      <c r="T130">
        <v>9.2353229208978309</v>
      </c>
      <c r="V130">
        <v>9.2353229208978327</v>
      </c>
      <c r="X130">
        <v>9.2353229208978327</v>
      </c>
      <c r="Z130">
        <v>9.2353229208978327</v>
      </c>
      <c r="AB130">
        <v>9.2353229208978327</v>
      </c>
      <c r="AD130">
        <v>9.2353229208978345</v>
      </c>
      <c r="AF130">
        <v>9.2353229208978345</v>
      </c>
      <c r="AH130">
        <v>9.2353229208978327</v>
      </c>
      <c r="AJ130">
        <v>9.2353229208978362</v>
      </c>
      <c r="AL130">
        <v>9.2353229208978345</v>
      </c>
      <c r="AN130">
        <v>9.2353229208978345</v>
      </c>
      <c r="AP130">
        <v>9.2353229208978345</v>
      </c>
      <c r="AR130">
        <v>9.2353229208978362</v>
      </c>
      <c r="AT130">
        <v>9.2353229208978362</v>
      </c>
      <c r="AV130">
        <v>9.2353229208978362</v>
      </c>
      <c r="AX130">
        <v>9.2353229208978362</v>
      </c>
    </row>
    <row r="131" spans="9:51" x14ac:dyDescent="0.15">
      <c r="J131" s="18">
        <f>(K129* $F$2 + K133* $H$2)*EXP($H$1*$F$1/$L$1)</f>
        <v>0.36108475034015958</v>
      </c>
      <c r="L131" s="18">
        <f>(M129* $F$2 + M133* $H$2)*EXP($H$1*$F$1/$L$1)</f>
        <v>0.35571790511865986</v>
      </c>
      <c r="N131" s="18">
        <f>(O129* $F$2 + O133* $H$2)*EXP($H$1*$F$1/$L$1)</f>
        <v>0.35025615482228806</v>
      </c>
      <c r="P131" s="18">
        <f>(Q129* $F$2 + Q133* $H$2)*EXP($H$1*$F$1/$L$1)</f>
        <v>0.3446935926058412</v>
      </c>
      <c r="R131" s="18">
        <f>(S129* $F$2 + S133* $H$2)*EXP($H$1*$F$1/$L$1)</f>
        <v>0.33902373745191383</v>
      </c>
      <c r="T131" s="18">
        <f>(U129* $F$2 + U133* $H$2)*EXP($H$1*$F$1/$L$1)</f>
        <v>0.33323946990664272</v>
      </c>
      <c r="V131" s="18">
        <f>(W129* $F$2 + W133* $H$2)*EXP($H$1*$F$1/$L$1)</f>
        <v>0.3273329658930369</v>
      </c>
      <c r="X131" s="18">
        <f>(Y129* $F$2 + Y133* $H$2)*EXP($H$1*$F$1/$L$1)</f>
        <v>0.32129563422610785</v>
      </c>
      <c r="Z131" s="18">
        <f>(AA129* $F$2 + AA133* $H$2)*EXP($H$1*$F$1/$L$1)</f>
        <v>0.31511806922249136</v>
      </c>
      <c r="AB131" s="18">
        <f>(AC129* $F$2 + AC133* $H$2)*EXP($H$1*$F$1/$L$1)</f>
        <v>0.30879004086365286</v>
      </c>
      <c r="AD131" s="18">
        <f>(AE129* $F$2 + AE133* $H$2)*EXP($H$1*$F$1/$L$1)</f>
        <v>0.30230056660988264</v>
      </c>
      <c r="AF131" s="18">
        <f>(AG129* $F$2 + AG133* $H$2)*EXP($H$1*$F$1/$L$1)</f>
        <v>0.29563815244614688</v>
      </c>
      <c r="AH131" s="18">
        <f>(AI129* $F$2 + AI133* $H$2)*EXP($H$1*$F$1/$L$1)</f>
        <v>0.28879138133488458</v>
      </c>
      <c r="AJ131" s="18">
        <f>(AK129* $F$2 + AK133* $H$2)*EXP($H$1*$F$1/$L$1)</f>
        <v>0.2817502248477064</v>
      </c>
      <c r="AL131" s="18">
        <f>(AM129* $F$2 + AM133* $H$2)*EXP($H$1*$F$1/$L$1)</f>
        <v>0.2745089102971538</v>
      </c>
      <c r="AN131" s="18">
        <f>(AO129* $F$2 + AO133* $H$2)*EXP($H$1*$F$1/$L$1)</f>
        <v>0.26707231006381488</v>
      </c>
      <c r="AP131" s="18">
        <f>(AQ129* $F$2 + AQ133* $H$2)*EXP($H$1*$F$1/$L$1)</f>
        <v>0.25947091300410491</v>
      </c>
      <c r="AR131" s="18">
        <f>(AS129* $F$2 + AS133* $H$2)*EXP($H$1*$F$1/$L$1)</f>
        <v>0.25179896799123724</v>
      </c>
      <c r="AT131" s="18">
        <f>(AU129* $F$2 + AU133* $H$2)*EXP($H$1*$F$1/$L$1)</f>
        <v>0.24432510226579493</v>
      </c>
      <c r="AV131" s="18">
        <f>(AW129* $F$2 + AW133* $H$2)*EXP($H$1*$F$1/$L$1)</f>
        <v>0.23788641993477194</v>
      </c>
      <c r="AX131" s="18">
        <f>(AY129* $F$2 + AY133* $H$2)*EXP($H$1*$F$1/$L$1)</f>
        <v>0.23591489083842562</v>
      </c>
    </row>
    <row r="132" spans="9:51" x14ac:dyDescent="0.15">
      <c r="K132">
        <v>9.1540531218622405</v>
      </c>
      <c r="M132">
        <v>9.1540531218622405</v>
      </c>
      <c r="O132">
        <v>9.1540531218622405</v>
      </c>
      <c r="Q132">
        <v>9.1540531218622405</v>
      </c>
      <c r="S132">
        <v>9.1540531218622405</v>
      </c>
      <c r="U132">
        <v>9.1540531218622423</v>
      </c>
      <c r="W132">
        <v>9.1540531218622423</v>
      </c>
      <c r="Y132">
        <v>9.1540531218622423</v>
      </c>
      <c r="AA132">
        <v>9.1540531218622423</v>
      </c>
      <c r="AC132">
        <v>9.1540531218622441</v>
      </c>
      <c r="AE132">
        <v>9.1540531218622423</v>
      </c>
      <c r="AG132">
        <v>9.1540531218622441</v>
      </c>
      <c r="AI132">
        <v>9.1540531218622441</v>
      </c>
      <c r="AK132">
        <v>9.1540531218622441</v>
      </c>
      <c r="AM132">
        <v>9.1540531218622441</v>
      </c>
      <c r="AO132">
        <v>9.1540531218622441</v>
      </c>
      <c r="AQ132">
        <v>9.1540531218622458</v>
      </c>
      <c r="AS132">
        <v>9.1540531218622458</v>
      </c>
      <c r="AU132">
        <v>9.1540531218622458</v>
      </c>
      <c r="AW132">
        <v>9.1540531218622476</v>
      </c>
      <c r="AY132">
        <v>9.1540531218622476</v>
      </c>
    </row>
    <row r="133" spans="9:51" x14ac:dyDescent="0.15">
      <c r="K133" s="18">
        <f>(L131* $F$2 + L135* $H$2)*EXP($H$1*$F$1/$L$1)</f>
        <v>0.30322861571074455</v>
      </c>
      <c r="M133" s="18">
        <f>(N131* $F$2 + N135* $H$2)*EXP($H$1*$F$1/$L$1)</f>
        <v>0.29759126817397213</v>
      </c>
      <c r="O133" s="18">
        <f>(P131* $F$2 + P135* $H$2)*EXP($H$1*$F$1/$L$1)</f>
        <v>0.29183473745849231</v>
      </c>
      <c r="Q133" s="18">
        <f>(R131* $F$2 + R135* $H$2)*EXP($H$1*$F$1/$L$1)</f>
        <v>0.28594982815640319</v>
      </c>
      <c r="S133" s="18">
        <f>(T131* $F$2 + T135* $H$2)*EXP($H$1*$F$1/$L$1)</f>
        <v>0.27992612230122427</v>
      </c>
      <c r="U133" s="18">
        <f>(V131* $F$2 + V135* $H$2)*EXP($H$1*$F$1/$L$1)</f>
        <v>0.2737517422477812</v>
      </c>
      <c r="W133" s="18">
        <f>(X131* $F$2 + X135* $H$2)*EXP($H$1*$F$1/$L$1)</f>
        <v>0.26741305209086813</v>
      </c>
      <c r="Y133" s="18">
        <f>(Z131* $F$2 + Z135* $H$2)*EXP($H$1*$F$1/$L$1)</f>
        <v>0.26089427753177746</v>
      </c>
      <c r="AA133" s="18">
        <f>(AB131* $F$2 + AB135* $H$2)*EXP($H$1*$F$1/$L$1)</f>
        <v>0.25417701623012656</v>
      </c>
      <c r="AC133" s="18">
        <f>(AD131* $F$2 + AD135* $H$2)*EXP($H$1*$F$1/$L$1)</f>
        <v>0.24723959935368325</v>
      </c>
      <c r="AE133" s="18">
        <f>(AF131* $F$2 + AF135* $H$2)*EXP($H$1*$F$1/$L$1)</f>
        <v>0.24005624882669366</v>
      </c>
      <c r="AG133" s="18">
        <f>(AH131* $F$2 + AH135* $H$2)*EXP($H$1*$F$1/$L$1)</f>
        <v>0.23259595217004617</v>
      </c>
      <c r="AI133" s="18">
        <f>(AJ131* $F$2 + AJ135* $H$2)*EXP($H$1*$F$1/$L$1)</f>
        <v>0.22482094783532039</v>
      </c>
      <c r="AK133" s="18">
        <f>(AL131* $F$2 + AL135* $H$2)*EXP($H$1*$F$1/$L$1)</f>
        <v>0.2166846866995833</v>
      </c>
      <c r="AM133" s="18">
        <f>(AN131* $F$2 + AN135* $H$2)*EXP($H$1*$F$1/$L$1)</f>
        <v>0.20812915242171892</v>
      </c>
      <c r="AO133" s="18">
        <f>(AP131* $F$2 + AP135* $H$2)*EXP($H$1*$F$1/$L$1)</f>
        <v>0.19908167008381433</v>
      </c>
      <c r="AQ133" s="18">
        <f>(AR131* $F$2 + AR135* $H$2)*EXP($H$1*$F$1/$L$1)</f>
        <v>0.18945263285310374</v>
      </c>
      <c r="AS133" s="18">
        <f>(AT131* $F$2 + AT135* $H$2)*EXP($H$1*$F$1/$L$1)</f>
        <v>0.17914204930924491</v>
      </c>
      <c r="AU133" s="18">
        <f>(AV131* $F$2 + AV135* $H$2)*EXP($H$1*$F$1/$L$1)</f>
        <v>0.1681001604907513</v>
      </c>
      <c r="AW133" s="18">
        <f>(AX131* $F$2 + AX135* $H$2)*EXP($H$1*$F$1/$L$1)</f>
        <v>0.15679546211419401</v>
      </c>
      <c r="AY133" s="16">
        <f>MAX(AY132 - $J$1, 0)</f>
        <v>0.15405312186224762</v>
      </c>
    </row>
    <row r="134" spans="9:51" x14ac:dyDescent="0.15">
      <c r="L134">
        <v>9.0734984878827998</v>
      </c>
      <c r="N134">
        <v>9.0734984878827998</v>
      </c>
      <c r="P134">
        <v>9.0734984878827998</v>
      </c>
      <c r="R134">
        <v>9.0734984878827998</v>
      </c>
      <c r="T134">
        <v>9.0734984878827998</v>
      </c>
      <c r="V134">
        <v>9.0734984878828016</v>
      </c>
      <c r="X134">
        <v>9.0734984878827998</v>
      </c>
      <c r="Z134">
        <v>9.0734984878828016</v>
      </c>
      <c r="AB134">
        <v>9.0734984878828016</v>
      </c>
      <c r="AD134">
        <v>9.0734984878828033</v>
      </c>
      <c r="AF134">
        <v>9.0734984878828033</v>
      </c>
      <c r="AH134">
        <v>9.0734984878828033</v>
      </c>
      <c r="AJ134">
        <v>9.0734984878828033</v>
      </c>
      <c r="AL134">
        <v>9.0734984878828033</v>
      </c>
      <c r="AN134">
        <v>9.0734984878828033</v>
      </c>
      <c r="AP134">
        <v>9.0734984878828051</v>
      </c>
      <c r="AR134">
        <v>9.0734984878828051</v>
      </c>
      <c r="AT134">
        <v>9.0734984878828051</v>
      </c>
      <c r="AV134">
        <v>9.0734984878828051</v>
      </c>
      <c r="AX134">
        <v>9.0734984878828051</v>
      </c>
    </row>
    <row r="135" spans="9:51" x14ac:dyDescent="0.15">
      <c r="L135" s="18">
        <f>(M133* $F$2 + M137* $H$2)*EXP($H$1*$F$1/$L$1)</f>
        <v>0.2504221999059581</v>
      </c>
      <c r="N135" s="18">
        <f>(O133* $F$2 + O137* $H$2)*EXP($H$1*$F$1/$L$1)</f>
        <v>0.24460902787219568</v>
      </c>
      <c r="P135" s="18">
        <f>(Q133* $F$2 + Q137* $H$2)*EXP($H$1*$F$1/$L$1)</f>
        <v>0.238658218644967</v>
      </c>
      <c r="R135" s="18">
        <f>(S133* $F$2 + S137* $H$2)*EXP($H$1*$F$1/$L$1)</f>
        <v>0.23255784914395708</v>
      </c>
      <c r="T135" s="18">
        <f>(U133* $F$2 + U137* $H$2)*EXP($H$1*$F$1/$L$1)</f>
        <v>0.22629418665517653</v>
      </c>
      <c r="V135" s="18">
        <f>(W133* $F$2 + W137* $H$2)*EXP($H$1*$F$1/$L$1)</f>
        <v>0.21985127989814285</v>
      </c>
      <c r="X135" s="18">
        <f>(Y133* $F$2 + Y137* $H$2)*EXP($H$1*$F$1/$L$1)</f>
        <v>0.2132104231300013</v>
      </c>
      <c r="Z135" s="18">
        <f>(AA133* $F$2 + AA137* $H$2)*EXP($H$1*$F$1/$L$1)</f>
        <v>0.20634944154716983</v>
      </c>
      <c r="AB135" s="18">
        <f>(AC133* $F$2 + AC137* $H$2)*EXP($H$1*$F$1/$L$1)</f>
        <v>0.19924171933565346</v>
      </c>
      <c r="AD135" s="18">
        <f>(AE133* $F$2 + AE137* $H$2)*EXP($H$1*$F$1/$L$1)</f>
        <v>0.19185484725973087</v>
      </c>
      <c r="AF135" s="18">
        <f>(AG133* $F$2 + AG137* $H$2)*EXP($H$1*$F$1/$L$1)</f>
        <v>0.18414869045505058</v>
      </c>
      <c r="AH135" s="18">
        <f>(AI133* $F$2 + AI137* $H$2)*EXP($H$1*$F$1/$L$1)</f>
        <v>0.17607254068466793</v>
      </c>
      <c r="AJ135" s="18">
        <f>(AK133* $F$2 + AK137* $H$2)*EXP($H$1*$F$1/$L$1)</f>
        <v>0.16756076053582245</v>
      </c>
      <c r="AL135" s="18">
        <f>(AM133* $F$2 + AM137* $H$2)*EXP($H$1*$F$1/$L$1)</f>
        <v>0.15852581344645975</v>
      </c>
      <c r="AN135" s="18">
        <f>(AO133* $F$2 + AO137* $H$2)*EXP($H$1*$F$1/$L$1)</f>
        <v>0.14884646720038414</v>
      </c>
      <c r="AP135" s="18">
        <f>(AQ133* $F$2 + AQ137* $H$2)*EXP($H$1*$F$1/$L$1)</f>
        <v>0.13834634361775217</v>
      </c>
      <c r="AR135" s="18">
        <f>(AS133* $F$2 + AS137* $H$2)*EXP($H$1*$F$1/$L$1)</f>
        <v>0.12675101369734806</v>
      </c>
      <c r="AT135" s="18">
        <f>(AU133* $F$2 + AU137* $H$2)*EXP($H$1*$F$1/$L$1)</f>
        <v>0.11358991967966786</v>
      </c>
      <c r="AV135" s="18">
        <f>(AW133* $F$2 + AW137* $H$2)*EXP($H$1*$F$1/$L$1)</f>
        <v>9.7921729683454542E-2</v>
      </c>
      <c r="AX135" s="18">
        <f>(AY133* $F$2 + AY137* $H$2)*EXP($H$1*$F$1/$L$1)</f>
        <v>7.7235647666733645E-2</v>
      </c>
    </row>
    <row r="136" spans="9:51" x14ac:dyDescent="0.15">
      <c r="M136">
        <v>8.9936527255877579</v>
      </c>
      <c r="O136">
        <v>8.9936527255877561</v>
      </c>
      <c r="Q136">
        <v>8.9936527255877579</v>
      </c>
      <c r="S136">
        <v>8.9936527255877579</v>
      </c>
      <c r="U136">
        <v>8.9936527255877596</v>
      </c>
      <c r="W136">
        <v>8.9936527255877579</v>
      </c>
      <c r="Y136">
        <v>8.9936527255877596</v>
      </c>
      <c r="AA136">
        <v>8.9936527255877579</v>
      </c>
      <c r="AC136">
        <v>8.9936527255877596</v>
      </c>
      <c r="AE136">
        <v>8.9936527255877596</v>
      </c>
      <c r="AG136">
        <v>8.9936527255877614</v>
      </c>
      <c r="AI136">
        <v>8.9936527255877596</v>
      </c>
      <c r="AK136">
        <v>8.9936527255877614</v>
      </c>
      <c r="AM136">
        <v>8.9936527255877614</v>
      </c>
      <c r="AO136">
        <v>8.9936527255877614</v>
      </c>
      <c r="AQ136">
        <v>8.9936527255877614</v>
      </c>
      <c r="AS136">
        <v>8.9936527255877614</v>
      </c>
      <c r="AU136">
        <v>8.9936527255877632</v>
      </c>
      <c r="AW136">
        <v>8.9936527255877632</v>
      </c>
      <c r="AY136">
        <v>8.9936527255877632</v>
      </c>
    </row>
    <row r="137" spans="9:51" x14ac:dyDescent="0.15">
      <c r="M137" s="18">
        <f>(N135* $F$2 + N139* $H$2)*EXP($H$1*$F$1/$L$1)</f>
        <v>0.20297091482135038</v>
      </c>
      <c r="O137" s="18">
        <f>(P135* $F$2 + P139* $H$2)*EXP($H$1*$F$1/$L$1)</f>
        <v>0.1971015288225475</v>
      </c>
      <c r="Q137" s="18">
        <f>(R135* $F$2 + R139* $H$2)*EXP($H$1*$F$1/$L$1)</f>
        <v>0.191085215038618</v>
      </c>
      <c r="S137" s="18">
        <f>(T135* $F$2 + T139* $H$2)*EXP($H$1*$F$1/$L$1)</f>
        <v>0.18490853876594279</v>
      </c>
      <c r="U137" s="18">
        <f>(V135* $F$2 + V139* $H$2)*EXP($H$1*$F$1/$L$1)</f>
        <v>0.17855590407808494</v>
      </c>
      <c r="W137" s="18">
        <f>(X135* $F$2 + X139* $H$2)*EXP($H$1*$F$1/$L$1)</f>
        <v>0.17200903400592191</v>
      </c>
      <c r="Y137" s="18">
        <f>(Z135* $F$2 + Z139* $H$2)*EXP($H$1*$F$1/$L$1)</f>
        <v>0.16524627811822076</v>
      </c>
      <c r="AA137" s="18">
        <f>(AB135* $F$2 + AB139* $H$2)*EXP($H$1*$F$1/$L$1)</f>
        <v>0.15824167186643912</v>
      </c>
      <c r="AC137" s="18">
        <f>(AD135* $F$2 + AD139* $H$2)*EXP($H$1*$F$1/$L$1)</f>
        <v>0.15096362948388478</v>
      </c>
      <c r="AE137" s="18">
        <f>(AF135* $F$2 + AF139* $H$2)*EXP($H$1*$F$1/$L$1)</f>
        <v>0.14337307937403065</v>
      </c>
      <c r="AG137" s="18">
        <f>(AH135* $F$2 + AH139* $H$2)*EXP($H$1*$F$1/$L$1)</f>
        <v>0.13542072080705528</v>
      </c>
      <c r="AI137" s="18">
        <f>(AJ135* $F$2 + AJ139* $H$2)*EXP($H$1*$F$1/$L$1)</f>
        <v>0.1270428363658383</v>
      </c>
      <c r="AK137" s="18">
        <f>(AL135* $F$2 + AL139* $H$2)*EXP($H$1*$F$1/$L$1)</f>
        <v>0.11815460706788823</v>
      </c>
      <c r="AM137" s="18">
        <f>(AN135* $F$2 + AN139* $H$2)*EXP($H$1*$F$1/$L$1)</f>
        <v>0.10863883012082963</v>
      </c>
      <c r="AO137" s="18">
        <f>(AP135* $F$2 + AP139* $H$2)*EXP($H$1*$F$1/$L$1)</f>
        <v>9.8325472990020507E-2</v>
      </c>
      <c r="AQ137" s="18">
        <f>(AR135* $F$2 + AR139* $H$2)*EXP($H$1*$F$1/$L$1)</f>
        <v>8.6950946828207309E-2</v>
      </c>
      <c r="AS137" s="18">
        <f>(AT135* $F$2 + AT139* $H$2)*EXP($H$1*$F$1/$L$1)</f>
        <v>7.4065491837235251E-2</v>
      </c>
      <c r="AU137" s="18">
        <f>(AV135* $F$2 + AV139* $H$2)*EXP($H$1*$F$1/$L$1)</f>
        <v>5.8775572744605348E-2</v>
      </c>
      <c r="AW137" s="18">
        <f>(AX135* $F$2 + AX139* $H$2)*EXP($H$1*$F$1/$L$1)</f>
        <v>3.8722650981613704E-2</v>
      </c>
      <c r="AY137" s="16">
        <f>MAX(AY136 - $J$1, 0)</f>
        <v>0</v>
      </c>
    </row>
    <row r="138" spans="9:51" x14ac:dyDescent="0.15">
      <c r="N138">
        <v>8.9145095969863188</v>
      </c>
      <c r="P138">
        <v>8.9145095969863206</v>
      </c>
      <c r="R138">
        <v>8.9145095969863206</v>
      </c>
      <c r="T138">
        <v>8.9145095969863224</v>
      </c>
      <c r="V138">
        <v>8.9145095969863224</v>
      </c>
      <c r="X138">
        <v>8.9145095969863224</v>
      </c>
      <c r="Z138">
        <v>8.9145095969863224</v>
      </c>
      <c r="AB138">
        <v>8.9145095969863224</v>
      </c>
      <c r="AD138">
        <v>8.9145095969863242</v>
      </c>
      <c r="AF138">
        <v>8.9145095969863242</v>
      </c>
      <c r="AH138">
        <v>8.9145095969863242</v>
      </c>
      <c r="AJ138">
        <v>8.9145095969863242</v>
      </c>
      <c r="AL138">
        <v>8.9145095969863242</v>
      </c>
      <c r="AN138">
        <v>8.9145095969863259</v>
      </c>
      <c r="AP138">
        <v>8.9145095969863259</v>
      </c>
      <c r="AR138">
        <v>8.9145095969863259</v>
      </c>
      <c r="AT138">
        <v>8.9145095969863277</v>
      </c>
      <c r="AV138">
        <v>8.9145095969863259</v>
      </c>
      <c r="AX138">
        <v>8.9145095969863259</v>
      </c>
    </row>
    <row r="139" spans="9:51" x14ac:dyDescent="0.15">
      <c r="N139" s="18">
        <f>(O137* $F$2 + O141* $H$2)*EXP($H$1*$F$1/$L$1)</f>
        <v>0.16108594400835363</v>
      </c>
      <c r="P139" s="18">
        <f>(Q137* $F$2 + Q141* $H$2)*EXP($H$1*$F$1/$L$1)</f>
        <v>0.15529914982472137</v>
      </c>
      <c r="R139" s="18">
        <f>(S137* $F$2 + S141* $H$2)*EXP($H$1*$F$1/$L$1)</f>
        <v>0.14936809275767898</v>
      </c>
      <c r="T139" s="18">
        <f>(U137* $F$2 + U141* $H$2)*EXP($H$1*$F$1/$L$1)</f>
        <v>0.14327963938246335</v>
      </c>
      <c r="V139" s="18">
        <f>(W137* $F$2 + W141* $H$2)*EXP($H$1*$F$1/$L$1)</f>
        <v>0.13701855297096849</v>
      </c>
      <c r="X139" s="18">
        <f>(Y137* $F$2 + Y141* $H$2)*EXP($H$1*$F$1/$L$1)</f>
        <v>0.13056698989852605</v>
      </c>
      <c r="Z139" s="18">
        <f>(AA137* $F$2 + AA141* $H$2)*EXP($H$1*$F$1/$L$1)</f>
        <v>0.12390382960813111</v>
      </c>
      <c r="AB139" s="18">
        <f>(AC137* $F$2 + AC141* $H$2)*EXP($H$1*$F$1/$L$1)</f>
        <v>0.11700376553403612</v>
      </c>
      <c r="AD139" s="18">
        <f>(AE137* $F$2 + AE141* $H$2)*EXP($H$1*$F$1/$L$1)</f>
        <v>0.1098360437161488</v>
      </c>
      <c r="AF139" s="18">
        <f>(AG137* $F$2 + AG141* $H$2)*EXP($H$1*$F$1/$L$1)</f>
        <v>0.10236266637670685</v>
      </c>
      <c r="AH139" s="18">
        <f>(AI137* $F$2 + AI141* $H$2)*EXP($H$1*$F$1/$L$1)</f>
        <v>9.453575395652139E-2</v>
      </c>
      <c r="AJ139" s="18">
        <f>(AK137* $F$2 + AK141* $H$2)*EXP($H$1*$F$1/$L$1)</f>
        <v>8.6293527229711606E-2</v>
      </c>
      <c r="AL139" s="18">
        <f>(AM137* $F$2 + AM141* $H$2)*EXP($H$1*$F$1/$L$1)</f>
        <v>7.7553909874900809E-2</v>
      </c>
      <c r="AN139" s="18">
        <f>(AO137* $F$2 + AO141* $H$2)*EXP($H$1*$F$1/$L$1)</f>
        <v>6.820376463971578E-2</v>
      </c>
      <c r="AP139" s="18">
        <f>(AQ137* $F$2 + AQ141* $H$2)*EXP($H$1*$F$1/$L$1)</f>
        <v>5.8079459688978756E-2</v>
      </c>
      <c r="AR139" s="18">
        <f>(AS137* $F$2 + AS141* $H$2)*EXP($H$1*$F$1/$L$1)</f>
        <v>4.692833700945697E-2</v>
      </c>
      <c r="AT139" s="18">
        <f>(AU137* $F$2 + AU141* $H$2)*EXP($H$1*$F$1/$L$1)</f>
        <v>3.4321601729727834E-2</v>
      </c>
      <c r="AV139" s="18">
        <f>(AW137* $F$2 + AW141* $H$2)*EXP($H$1*$F$1/$L$1)</f>
        <v>1.9413881340308848E-2</v>
      </c>
      <c r="AX139" s="18">
        <f>(AY137* $F$2 + AY141* $H$2)*EXP($H$1*$F$1/$L$1)</f>
        <v>0</v>
      </c>
    </row>
    <row r="140" spans="9:51" x14ac:dyDescent="0.15">
      <c r="O140">
        <v>8.8360629189813142</v>
      </c>
      <c r="Q140">
        <v>8.836062918981316</v>
      </c>
      <c r="S140">
        <v>8.836062918981316</v>
      </c>
      <c r="U140">
        <v>8.8360629189813178</v>
      </c>
      <c r="W140">
        <v>8.8360629189813178</v>
      </c>
      <c r="Y140">
        <v>8.8360629189813178</v>
      </c>
      <c r="AA140">
        <v>8.836062918981316</v>
      </c>
      <c r="AC140">
        <v>8.8360629189813178</v>
      </c>
      <c r="AE140">
        <v>8.8360629189813178</v>
      </c>
      <c r="AG140">
        <v>8.8360629189813178</v>
      </c>
      <c r="AI140">
        <v>8.8360629189813178</v>
      </c>
      <c r="AK140">
        <v>8.8360629189813196</v>
      </c>
      <c r="AM140">
        <v>8.8360629189813196</v>
      </c>
      <c r="AO140">
        <v>8.8360629189813196</v>
      </c>
      <c r="AQ140">
        <v>8.8360629189813196</v>
      </c>
      <c r="AS140">
        <v>8.8360629189813196</v>
      </c>
      <c r="AU140">
        <v>8.8360629189813213</v>
      </c>
      <c r="AW140">
        <v>8.8360629189813213</v>
      </c>
      <c r="AY140">
        <v>8.8360629189813213</v>
      </c>
    </row>
    <row r="141" spans="9:51" x14ac:dyDescent="0.15">
      <c r="O141" s="18">
        <f>(P139* $F$2 + P143* $H$2)*EXP($H$1*$F$1/$L$1)</f>
        <v>0.12485864982843534</v>
      </c>
      <c r="Q141" s="18">
        <f>(R139* $F$2 + R143* $H$2)*EXP($H$1*$F$1/$L$1)</f>
        <v>0.11930332101545071</v>
      </c>
      <c r="S141" s="18">
        <f>(T139* $F$2 + T143* $H$2)*EXP($H$1*$F$1/$L$1)</f>
        <v>0.11361993261779128</v>
      </c>
      <c r="U141" s="18">
        <f>(V139* $F$2 + V143* $H$2)*EXP($H$1*$F$1/$L$1)</f>
        <v>0.1077978284532482</v>
      </c>
      <c r="W141" s="18">
        <f>(X139* $F$2 + X143* $H$2)*EXP($H$1*$F$1/$L$1)</f>
        <v>0.1018248301114712</v>
      </c>
      <c r="Y141" s="18">
        <f>(Z139* $F$2 + Z143* $H$2)*EXP($H$1*$F$1/$L$1)</f>
        <v>9.568692325419316E-2</v>
      </c>
      <c r="AA141" s="18">
        <f>(AB139* $F$2 + AB143* $H$2)*EXP($H$1*$F$1/$L$1)</f>
        <v>8.9367859721932813E-2</v>
      </c>
      <c r="AC141" s="18">
        <f>(AD139* $F$2 + AD143* $H$2)*EXP($H$1*$F$1/$L$1)</f>
        <v>8.2848648712538331E-2</v>
      </c>
      <c r="AE141" s="18">
        <f>(AF139* $F$2 + AF143* $H$2)*EXP($H$1*$F$1/$L$1)</f>
        <v>7.6106901987541165E-2</v>
      </c>
      <c r="AG141" s="18">
        <f>(AH139* $F$2 + AH143* $H$2)*EXP($H$1*$F$1/$L$1)</f>
        <v>6.9115989589349475E-2</v>
      </c>
      <c r="AI141" s="18">
        <f>(AJ139* $F$2 + AJ143* $H$2)*EXP($H$1*$F$1/$L$1)</f>
        <v>6.1843960038634974E-2</v>
      </c>
      <c r="AK141" s="18">
        <f>(AL139* $F$2 + AL143* $H$2)*EXP($H$1*$F$1/$L$1)</f>
        <v>5.4252204127744841E-2</v>
      </c>
      <c r="AM141" s="18">
        <f>(AN139* $F$2 + AN143* $H$2)*EXP($H$1*$F$1/$L$1)</f>
        <v>4.6293969085457722E-2</v>
      </c>
      <c r="AO141" s="18">
        <f>(AP139* $F$2 + AP143* $H$2)*EXP($H$1*$F$1/$L$1)</f>
        <v>3.7913329674038439E-2</v>
      </c>
      <c r="AQ141" s="18">
        <f>(AR139* $F$2 + AR143* $H$2)*EXP($H$1*$F$1/$L$1)</f>
        <v>2.9047163121287519E-2</v>
      </c>
      <c r="AS141" s="18">
        <f>(AT139* $F$2 + AT143* $H$2)*EXP($H$1*$F$1/$L$1)</f>
        <v>1.9640992995794165E-2</v>
      </c>
      <c r="AU141" s="18">
        <f>(AV139* $F$2 + AV143* $H$2)*EXP($H$1*$F$1/$L$1)</f>
        <v>9.7332899256962341E-3</v>
      </c>
      <c r="AW141" s="18">
        <f>(AX139* $F$2 + AX143* $H$2)*EXP($H$1*$F$1/$L$1)</f>
        <v>0</v>
      </c>
      <c r="AY141" s="16">
        <f>MAX(AY140 - $J$1, 0)</f>
        <v>0</v>
      </c>
    </row>
    <row r="142" spans="9:51" x14ac:dyDescent="0.15">
      <c r="P142">
        <v>8.758306562886121</v>
      </c>
      <c r="R142">
        <v>8.758306562886121</v>
      </c>
      <c r="T142">
        <v>8.758306562886121</v>
      </c>
      <c r="V142">
        <v>8.7583065628861227</v>
      </c>
      <c r="X142">
        <v>8.7583065628861227</v>
      </c>
      <c r="Z142">
        <v>8.7583065628861227</v>
      </c>
      <c r="AB142">
        <v>8.758306562886121</v>
      </c>
      <c r="AD142">
        <v>8.7583065628861245</v>
      </c>
      <c r="AF142">
        <v>8.7583065628861227</v>
      </c>
      <c r="AH142">
        <v>8.7583065628861227</v>
      </c>
      <c r="AJ142">
        <v>8.7583065628861245</v>
      </c>
      <c r="AL142">
        <v>8.7583065628861245</v>
      </c>
      <c r="AN142">
        <v>8.7583065628861245</v>
      </c>
      <c r="AP142">
        <v>8.7583065628861245</v>
      </c>
      <c r="AR142">
        <v>8.7583065628861263</v>
      </c>
      <c r="AT142">
        <v>8.7583065628861263</v>
      </c>
      <c r="AV142">
        <v>8.7583065628861245</v>
      </c>
      <c r="AX142">
        <v>8.7583065628861245</v>
      </c>
    </row>
    <row r="143" spans="9:51" x14ac:dyDescent="0.15">
      <c r="P143" s="18">
        <f>(Q141* $F$2 + Q145* $H$2)*EXP($H$1*$F$1/$L$1)</f>
        <v>9.424062750434968E-2</v>
      </c>
      <c r="R143" s="18">
        <f>(S141* $F$2 + S145* $H$2)*EXP($H$1*$F$1/$L$1)</f>
        <v>8.9063721202936139E-2</v>
      </c>
      <c r="T143" s="18">
        <f>(U141* $F$2 + U145* $H$2)*EXP($H$1*$F$1/$L$1)</f>
        <v>8.3788264094270246E-2</v>
      </c>
      <c r="V143" s="18">
        <f>(W141* $F$2 + W145* $H$2)*EXP($H$1*$F$1/$L$1)</f>
        <v>7.840820623561344E-2</v>
      </c>
      <c r="X143" s="18">
        <f>(Y141* $F$2 + Y145* $H$2)*EXP($H$1*$F$1/$L$1)</f>
        <v>7.2917066083245483E-2</v>
      </c>
      <c r="Z143" s="18">
        <f>(AA141* $F$2 + AA145* $H$2)*EXP($H$1*$F$1/$L$1)</f>
        <v>6.7307975062898012E-2</v>
      </c>
      <c r="AB143" s="18">
        <f>(AC141* $F$2 + AC145* $H$2)*EXP($H$1*$F$1/$L$1)</f>
        <v>6.1573793627760449E-2</v>
      </c>
      <c r="AD143" s="18">
        <f>(AE141* $F$2 + AE145* $H$2)*EXP($H$1*$F$1/$L$1)</f>
        <v>5.5707359066863228E-2</v>
      </c>
      <c r="AF143" s="18">
        <f>(AG141* $F$2 + AG145* $H$2)*EXP($H$1*$F$1/$L$1)</f>
        <v>4.9701978494039005E-2</v>
      </c>
      <c r="AH143" s="18">
        <f>(AI141* $F$2 + AI145* $H$2)*EXP($H$1*$F$1/$L$1)</f>
        <v>4.3552387890168208E-2</v>
      </c>
      <c r="AJ143" s="18">
        <f>(AK141* $F$2 + AK145* $H$2)*EXP($H$1*$F$1/$L$1)</f>
        <v>3.7256626142442184E-2</v>
      </c>
      <c r="AL143" s="18">
        <f>(AM141* $F$2 + AM145* $H$2)*EXP($H$1*$F$1/$L$1)</f>
        <v>3.0819787141607033E-2</v>
      </c>
      <c r="AN143" s="18">
        <f>(AO141* $F$2 + AO145* $H$2)*EXP($H$1*$F$1/$L$1)</f>
        <v>2.4261861470980559E-2</v>
      </c>
      <c r="AP143" s="18">
        <f>(AQ141* $F$2 + AQ145* $H$2)*EXP($H$1*$F$1/$L$1)</f>
        <v>1.7635210252580628E-2</v>
      </c>
      <c r="AR143" s="18">
        <f>(AS141* $F$2 + AS145* $H$2)*EXP($H$1*$F$1/$L$1)</f>
        <v>1.1067261761239894E-2</v>
      </c>
      <c r="AT143" s="18">
        <f>(AU141* $F$2 + AU145* $H$2)*EXP($H$1*$F$1/$L$1)</f>
        <v>4.8798553528272811E-3</v>
      </c>
      <c r="AV143" s="18">
        <f>(AW141* $F$2 + AW145* $H$2)*EXP($H$1*$F$1/$L$1)</f>
        <v>0</v>
      </c>
      <c r="AX143" s="18">
        <f>(AY141* $F$2 + AY145* $H$2)*EXP($H$1*$F$1/$L$1)</f>
        <v>0</v>
      </c>
    </row>
    <row r="144" spans="9:51" x14ac:dyDescent="0.15">
      <c r="Q144">
        <v>8.6812344539458692</v>
      </c>
      <c r="S144">
        <v>8.6812344539458692</v>
      </c>
      <c r="U144">
        <v>8.681234453945871</v>
      </c>
      <c r="W144">
        <v>8.681234453945871</v>
      </c>
      <c r="Y144">
        <v>8.681234453945871</v>
      </c>
      <c r="AA144">
        <v>8.6812344539458692</v>
      </c>
      <c r="AC144">
        <v>8.681234453945871</v>
      </c>
      <c r="AE144">
        <v>8.681234453945871</v>
      </c>
      <c r="AG144">
        <v>8.681234453945871</v>
      </c>
      <c r="AI144">
        <v>8.681234453945871</v>
      </c>
      <c r="AK144">
        <v>8.6812344539458728</v>
      </c>
      <c r="AM144">
        <v>8.6812344539458728</v>
      </c>
      <c r="AO144">
        <v>8.6812344539458728</v>
      </c>
      <c r="AQ144">
        <v>8.6812344539458728</v>
      </c>
      <c r="AS144">
        <v>8.6812344539458728</v>
      </c>
      <c r="AU144">
        <v>8.6812344539458728</v>
      </c>
      <c r="AW144">
        <v>8.6812344539458728</v>
      </c>
      <c r="AY144">
        <v>8.6812344539458746</v>
      </c>
    </row>
    <row r="145" spans="17:51" x14ac:dyDescent="0.15">
      <c r="Q145" s="18">
        <f>(R143* $F$2 + R147* $H$2)*EXP($H$1*$F$1/$L$1)</f>
        <v>6.9032846631581685E-2</v>
      </c>
      <c r="S145" s="18">
        <f>(T143* $F$2 + T147* $H$2)*EXP($H$1*$F$1/$L$1)</f>
        <v>6.436576456885465E-2</v>
      </c>
      <c r="U145" s="18">
        <f>(V143* $F$2 + V147* $H$2)*EXP($H$1*$F$1/$L$1)</f>
        <v>5.9640522595645354E-2</v>
      </c>
      <c r="W145" s="18">
        <f>(X143* $F$2 + X147* $H$2)*EXP($H$1*$F$1/$L$1)</f>
        <v>5.4857232584517933E-2</v>
      </c>
      <c r="Y145" s="18">
        <f>(Z143* $F$2 + Z147* $H$2)*EXP($H$1*$F$1/$L$1)</f>
        <v>5.0016986655896253E-2</v>
      </c>
      <c r="AA145" s="18">
        <f>(AB143* $F$2 + AB147* $H$2)*EXP($H$1*$F$1/$L$1)</f>
        <v>4.5122346559539617E-2</v>
      </c>
      <c r="AC145" s="18">
        <f>(AD143* $F$2 + AD147* $H$2)*EXP($H$1*$F$1/$L$1)</f>
        <v>4.0178087920398071E-2</v>
      </c>
      <c r="AE145" s="18">
        <f>(AF143* $F$2 + AF147* $H$2)*EXP($H$1*$F$1/$L$1)</f>
        <v>3.5192355417750704E-2</v>
      </c>
      <c r="AG145" s="18">
        <f>(AH143* $F$2 + AH147* $H$2)*EXP($H$1*$F$1/$L$1)</f>
        <v>3.0178500095382695E-2</v>
      </c>
      <c r="AI145" s="18">
        <f>(AJ143* $F$2 + AJ147* $H$2)*EXP($H$1*$F$1/$L$1)</f>
        <v>2.5158087970496026E-2</v>
      </c>
      <c r="AK145" s="18">
        <f>(AL143* $F$2 + AL147* $H$2)*EXP($H$1*$F$1/$L$1)</f>
        <v>2.0166001155134762E-2</v>
      </c>
      <c r="AM145" s="18">
        <f>(AN143* $F$2 + AN147* $H$2)*EXP($H$1*$F$1/$L$1)</f>
        <v>1.5259455269518994E-2</v>
      </c>
      <c r="AO145" s="18">
        <f>(AP143* $F$2 + AP147* $H$2)*EXP($H$1*$F$1/$L$1)</f>
        <v>1.053475791154181E-2</v>
      </c>
      <c r="AQ145" s="18">
        <f>(AR143* $F$2 + AR147* $H$2)*EXP($H$1*$F$1/$L$1)</f>
        <v>6.1603616458576205E-3</v>
      </c>
      <c r="AS145" s="18">
        <f>(AT143* $F$2 + AT147* $H$2)*EXP($H$1*$F$1/$L$1)</f>
        <v>2.4465508010451764E-3</v>
      </c>
      <c r="AU145" s="18">
        <f>(AV143* $F$2 + AV147* $H$2)*EXP($H$1*$F$1/$L$1)</f>
        <v>0</v>
      </c>
      <c r="AW145" s="18">
        <f>(AX143* $F$2 + AX147* $H$2)*EXP($H$1*$F$1/$L$1)</f>
        <v>0</v>
      </c>
      <c r="AY145" s="16">
        <f>MAX(AY144 - $J$1, 0)</f>
        <v>0</v>
      </c>
    </row>
    <row r="146" spans="17:51" x14ac:dyDescent="0.15">
      <c r="R146">
        <v>8.6048405708628461</v>
      </c>
      <c r="T146">
        <v>8.6048405708628479</v>
      </c>
      <c r="V146">
        <v>8.6048405708628479</v>
      </c>
      <c r="X146">
        <v>8.6048405708628479</v>
      </c>
      <c r="Z146">
        <v>8.6048405708628479</v>
      </c>
      <c r="AB146">
        <v>8.6048405708628479</v>
      </c>
      <c r="AD146">
        <v>8.6048405708628497</v>
      </c>
      <c r="AF146">
        <v>8.6048405708628479</v>
      </c>
      <c r="AH146">
        <v>8.6048405708628497</v>
      </c>
      <c r="AJ146">
        <v>8.6048405708628515</v>
      </c>
      <c r="AL146">
        <v>8.6048405708628497</v>
      </c>
      <c r="AN146">
        <v>8.6048405708628497</v>
      </c>
      <c r="AP146">
        <v>8.6048405708628515</v>
      </c>
      <c r="AR146">
        <v>8.6048405708628515</v>
      </c>
      <c r="AT146">
        <v>8.6048405708628515</v>
      </c>
      <c r="AV146">
        <v>8.6048405708628497</v>
      </c>
      <c r="AX146">
        <v>8.6048405708628497</v>
      </c>
    </row>
    <row r="147" spans="17:51" x14ac:dyDescent="0.15">
      <c r="R147" s="18">
        <f>(S145* $F$2 + S149* $H$2)*EXP($H$1*$F$1/$L$1)</f>
        <v>4.888680174344727E-2</v>
      </c>
      <c r="T147" s="18">
        <f>(U145* $F$2 + U149* $H$2)*EXP($H$1*$F$1/$L$1)</f>
        <v>4.4831914811572518E-2</v>
      </c>
      <c r="V147" s="18">
        <f>(W145* $F$2 + W149* $H$2)*EXP($H$1*$F$1/$L$1)</f>
        <v>4.076556305709271E-2</v>
      </c>
      <c r="X147" s="18">
        <f>(Y145* $F$2 + Y149* $H$2)*EXP($H$1*$F$1/$L$1)</f>
        <v>3.6694486816762614E-2</v>
      </c>
      <c r="Z147" s="18">
        <f>(AA145* $F$2 + AA149* $H$2)*EXP($H$1*$F$1/$L$1)</f>
        <v>3.2627781101552206E-2</v>
      </c>
      <c r="AB147" s="18">
        <f>(AC145* $F$2 + AC149* $H$2)*EXP($H$1*$F$1/$L$1)</f>
        <v>2.8577760225487771E-2</v>
      </c>
      <c r="AD147" s="18">
        <f>(AE145* $F$2 + AE149* $H$2)*EXP($H$1*$F$1/$L$1)</f>
        <v>2.4561201035618433E-2</v>
      </c>
      <c r="AF147" s="18">
        <f>(AG145* $F$2 + AG149* $H$2)*EXP($H$1*$F$1/$L$1)</f>
        <v>2.0601163657895293E-2</v>
      </c>
      <c r="AH147" s="18">
        <f>(AI145* $F$2 + AI149* $H$2)*EXP($H$1*$F$1/$L$1)</f>
        <v>1.6729711515393628E-2</v>
      </c>
      <c r="AJ147" s="18">
        <f>(AK145* $F$2 + AK149* $H$2)*EXP($H$1*$F$1/$L$1)</f>
        <v>1.2992060163128235E-2</v>
      </c>
      <c r="AL147" s="18">
        <f>(AM145* $F$2 + AM149* $H$2)*EXP($H$1*$F$1/$L$1)</f>
        <v>9.4530339680742644E-3</v>
      </c>
      <c r="AN147" s="18">
        <f>(AO145* $F$2 + AO149* $H$2)*EXP($H$1*$F$1/$L$1)</f>
        <v>6.2072643688500162E-3</v>
      </c>
      <c r="AP147" s="18">
        <f>(AQ145* $F$2 + AQ149* $H$2)*EXP($H$1*$F$1/$L$1)</f>
        <v>3.395227064098616E-3</v>
      </c>
      <c r="AR147" s="18">
        <f>(AS145* $F$2 + AS149* $H$2)*EXP($H$1*$F$1/$L$1)</f>
        <v>1.2265959519941229E-3</v>
      </c>
      <c r="AT147" s="18">
        <f>(AU145* $F$2 + AU149* $H$2)*EXP($H$1*$F$1/$L$1)</f>
        <v>0</v>
      </c>
      <c r="AV147" s="18">
        <f>(AW145* $F$2 + AW149* $H$2)*EXP($H$1*$F$1/$L$1)</f>
        <v>0</v>
      </c>
      <c r="AX147" s="18">
        <f>(AY145* $F$2 + AY149* $H$2)*EXP($H$1*$F$1/$L$1)</f>
        <v>0</v>
      </c>
    </row>
    <row r="148" spans="17:51" x14ac:dyDescent="0.15">
      <c r="S148">
        <v>8.5291189453260845</v>
      </c>
      <c r="U148">
        <v>8.5291189453260845</v>
      </c>
      <c r="W148">
        <v>8.5291189453260845</v>
      </c>
      <c r="Y148">
        <v>8.5291189453260845</v>
      </c>
      <c r="AA148">
        <v>8.5291189453260845</v>
      </c>
      <c r="AC148">
        <v>8.5291189453260845</v>
      </c>
      <c r="AE148">
        <v>8.5291189453260845</v>
      </c>
      <c r="AG148">
        <v>8.5291189453260845</v>
      </c>
      <c r="AI148">
        <v>8.5291189453260863</v>
      </c>
      <c r="AK148">
        <v>8.5291189453260863</v>
      </c>
      <c r="AM148">
        <v>8.5291189453260863</v>
      </c>
      <c r="AO148">
        <v>8.5291189453260863</v>
      </c>
      <c r="AQ148">
        <v>8.5291189453260863</v>
      </c>
      <c r="AS148">
        <v>8.5291189453260863</v>
      </c>
      <c r="AU148">
        <v>8.5291189453260863</v>
      </c>
      <c r="AW148">
        <v>8.5291189453260881</v>
      </c>
      <c r="AY148">
        <v>8.5291189453260881</v>
      </c>
    </row>
    <row r="149" spans="17:51" x14ac:dyDescent="0.15">
      <c r="S149" s="18">
        <f>(T147* $F$2 + T151* $H$2)*EXP($H$1*$F$1/$L$1)</f>
        <v>3.3319399255653616E-2</v>
      </c>
      <c r="U149" s="18">
        <f>(V147* $F$2 + V151* $H$2)*EXP($H$1*$F$1/$L$1)</f>
        <v>2.993894031668878E-2</v>
      </c>
      <c r="W149" s="18">
        <f>(X147* $F$2 + X151* $H$2)*EXP($H$1*$F$1/$L$1)</f>
        <v>2.6593848923692341E-2</v>
      </c>
      <c r="Y149" s="18">
        <f>(Z147* $F$2 + Z151* $H$2)*EXP($H$1*$F$1/$L$1)</f>
        <v>2.3296542820614489E-2</v>
      </c>
      <c r="AA149" s="18">
        <f>(AB147* $F$2 + AB151* $H$2)*EXP($H$1*$F$1/$L$1)</f>
        <v>2.0062683881811573E-2</v>
      </c>
      <c r="AC149" s="18">
        <f>(AD147* $F$2 + AD151* $H$2)*EXP($H$1*$F$1/$L$1)</f>
        <v>1.6912163655673235E-2</v>
      </c>
      <c r="AE149" s="18">
        <f>(AF147* $F$2 + AF151* $H$2)*EXP($H$1*$F$1/$L$1)</f>
        <v>1.3870434957834542E-2</v>
      </c>
      <c r="AG149" s="18">
        <f>(AH147* $F$2 + AH151* $H$2)*EXP($H$1*$F$1/$L$1)</f>
        <v>1.0970315736481696E-2</v>
      </c>
      <c r="AI149" s="18">
        <f>(AJ147* $F$2 + AJ151* $H$2)*EXP($H$1*$F$1/$L$1)</f>
        <v>8.2544186243462495E-3</v>
      </c>
      <c r="AK149" s="18">
        <f>(AL147* $F$2 + AL151* $H$2)*EXP($H$1*$F$1/$L$1)</f>
        <v>5.7783419029520727E-3</v>
      </c>
      <c r="AM149" s="18">
        <f>(AN147* $F$2 + AN151* $H$2)*EXP($H$1*$F$1/$L$1)</f>
        <v>3.6145510228604042E-3</v>
      </c>
      <c r="AO149" s="18">
        <f>(AP147* $F$2 + AP151* $H$2)*EXP($H$1*$F$1/$L$1)</f>
        <v>1.8559804900621238E-3</v>
      </c>
      <c r="AQ149" s="18">
        <f>(AR147* $F$2 + AR151* $H$2)*EXP($H$1*$F$1/$L$1)</f>
        <v>6.1496275851113491E-4</v>
      </c>
      <c r="AS149" s="18">
        <f>(AT147* $F$2 + AT151* $H$2)*EXP($H$1*$F$1/$L$1)</f>
        <v>0</v>
      </c>
      <c r="AU149" s="18">
        <f>(AV147* $F$2 + AV151* $H$2)*EXP($H$1*$F$1/$L$1)</f>
        <v>0</v>
      </c>
      <c r="AW149" s="18">
        <f>(AX147* $F$2 + AX151* $H$2)*EXP($H$1*$F$1/$L$1)</f>
        <v>0</v>
      </c>
      <c r="AY149" s="16">
        <f>MAX(AY148 - $J$1, 0)</f>
        <v>0</v>
      </c>
    </row>
    <row r="150" spans="17:51" x14ac:dyDescent="0.15">
      <c r="T150">
        <v>8.4540636615450691</v>
      </c>
      <c r="V150">
        <v>8.4540636615450691</v>
      </c>
      <c r="X150">
        <v>8.4540636615450673</v>
      </c>
      <c r="Z150">
        <v>8.4540636615450691</v>
      </c>
      <c r="AB150">
        <v>8.4540636615450691</v>
      </c>
      <c r="AD150">
        <v>8.4540636615450708</v>
      </c>
      <c r="AF150">
        <v>8.4540636615450708</v>
      </c>
      <c r="AH150">
        <v>8.4540636615450708</v>
      </c>
      <c r="AJ150">
        <v>8.4540636615450726</v>
      </c>
      <c r="AL150">
        <v>8.4540636615450708</v>
      </c>
      <c r="AN150">
        <v>8.4540636615450708</v>
      </c>
      <c r="AP150">
        <v>8.4540636615450726</v>
      </c>
      <c r="AR150">
        <v>8.4540636615450708</v>
      </c>
      <c r="AT150">
        <v>8.4540636615450726</v>
      </c>
      <c r="AV150">
        <v>8.4540636615450708</v>
      </c>
      <c r="AX150">
        <v>8.4540636615450726</v>
      </c>
    </row>
    <row r="151" spans="17:51" x14ac:dyDescent="0.15">
      <c r="T151" s="18">
        <f>(U149* $F$2 + U153* $H$2)*EXP($H$1*$F$1/$L$1)</f>
        <v>2.1741487522776291E-2</v>
      </c>
      <c r="V151" s="18">
        <f>(W149* $F$2 + W153* $H$2)*EXP($H$1*$F$1/$L$1)</f>
        <v>1.9050992451390938E-2</v>
      </c>
      <c r="X151" s="18">
        <f>(Y149* $F$2 + Y153* $H$2)*EXP($H$1*$F$1/$L$1)</f>
        <v>1.6436165723343495E-2</v>
      </c>
      <c r="Z151" s="18">
        <f>(AA149* $F$2 + AA153* $H$2)*EXP($H$1*$F$1/$L$1)</f>
        <v>1.3912763928624099E-2</v>
      </c>
      <c r="AB151" s="18">
        <f>(AC149* $F$2 + AC153* $H$2)*EXP($H$1*$F$1/$L$1)</f>
        <v>1.1499812340421944E-2</v>
      </c>
      <c r="AD151" s="18">
        <f>(AE149* $F$2 + AE153* $H$2)*EXP($H$1*$F$1/$L$1)</f>
        <v>9.2203312785931347E-3</v>
      </c>
      <c r="AF151" s="18">
        <f>(AG149* $F$2 + AG153* $H$2)*EXP($H$1*$F$1/$L$1)</f>
        <v>7.102175782143459E-3</v>
      </c>
      <c r="AH151" s="18">
        <f>(AI149* $F$2 + AI153* $H$2)*EXP($H$1*$F$1/$L$1)</f>
        <v>5.1789182236993614E-3</v>
      </c>
      <c r="AJ151" s="18">
        <f>(AK149* $F$2 + AK153* $H$2)*EXP($H$1*$F$1/$L$1)</f>
        <v>3.4905491315282418E-3</v>
      </c>
      <c r="AL151" s="18">
        <f>(AM149* $F$2 + AM153* $H$2)*EXP($H$1*$F$1/$L$1)</f>
        <v>2.0833846719381633E-3</v>
      </c>
      <c r="AN151" s="18">
        <f>(AO149* $F$2 + AO153* $H$2)*EXP($H$1*$F$1/$L$1)</f>
        <v>1.007597352982687E-3</v>
      </c>
      <c r="AP151" s="18">
        <f>(AQ149* $F$2 + AQ153* $H$2)*EXP($H$1*$F$1/$L$1)</f>
        <v>3.0831603001852759E-4</v>
      </c>
      <c r="AR151" s="18">
        <f>(AS149* $F$2 + AS153* $H$2)*EXP($H$1*$F$1/$L$1)</f>
        <v>0</v>
      </c>
      <c r="AT151" s="18">
        <f>(AU149* $F$2 + AU153* $H$2)*EXP($H$1*$F$1/$L$1)</f>
        <v>0</v>
      </c>
      <c r="AV151" s="18">
        <f>(AW149* $F$2 + AW153* $H$2)*EXP($H$1*$F$1/$L$1)</f>
        <v>0</v>
      </c>
      <c r="AX151" s="18">
        <f>(AY149* $F$2 + AY153* $H$2)*EXP($H$1*$F$1/$L$1)</f>
        <v>0</v>
      </c>
    </row>
    <row r="152" spans="17:51" x14ac:dyDescent="0.15">
      <c r="U152">
        <v>8.3796688557875836</v>
      </c>
      <c r="W152">
        <v>8.3796688557875818</v>
      </c>
      <c r="Y152">
        <v>8.3796688557875836</v>
      </c>
      <c r="AA152">
        <v>8.3796688557875818</v>
      </c>
      <c r="AC152">
        <v>8.3796688557875836</v>
      </c>
      <c r="AE152">
        <v>8.3796688557875836</v>
      </c>
      <c r="AG152">
        <v>8.3796688557875854</v>
      </c>
      <c r="AI152">
        <v>8.3796688557875854</v>
      </c>
      <c r="AK152">
        <v>8.3796688557875854</v>
      </c>
      <c r="AM152">
        <v>8.3796688557875854</v>
      </c>
      <c r="AO152">
        <v>8.3796688557875854</v>
      </c>
      <c r="AQ152">
        <v>8.3796688557875854</v>
      </c>
      <c r="AS152">
        <v>8.3796688557875854</v>
      </c>
      <c r="AU152">
        <v>8.3796688557875854</v>
      </c>
      <c r="AW152">
        <v>8.3796688557875871</v>
      </c>
      <c r="AY152">
        <v>8.3796688557875871</v>
      </c>
    </row>
    <row r="153" spans="17:51" x14ac:dyDescent="0.15">
      <c r="U153" s="18">
        <f>(V151* $F$2 + V155* $H$2)*EXP($H$1*$F$1/$L$1)</f>
        <v>1.3497718161703812E-2</v>
      </c>
      <c r="W153" s="18">
        <f>(X151* $F$2 + X155* $H$2)*EXP($H$1*$F$1/$L$1)</f>
        <v>1.1465637565976402E-2</v>
      </c>
      <c r="Y153" s="18">
        <f>(Z151* $F$2 + Z155* $H$2)*EXP($H$1*$F$1/$L$1)</f>
        <v>9.5372471578195218E-3</v>
      </c>
      <c r="AA153" s="18">
        <f>(AB151* $F$2 + AB155* $H$2)*EXP($H$1*$F$1/$L$1)</f>
        <v>7.7283967717792267E-3</v>
      </c>
      <c r="AC153" s="18">
        <f>(AD151* $F$2 + AD155* $H$2)*EXP($H$1*$F$1/$L$1)</f>
        <v>6.0572384148294247E-3</v>
      </c>
      <c r="AE153" s="18">
        <f>(AF151* $F$2 + AF155* $H$2)*EXP($H$1*$F$1/$L$1)</f>
        <v>4.5443440906204171E-3</v>
      </c>
      <c r="AG153" s="18">
        <f>(AH151* $F$2 + AH155* $H$2)*EXP($H$1*$F$1/$L$1)</f>
        <v>3.2125760465986104E-3</v>
      </c>
      <c r="AI153" s="18">
        <f>(AJ151* $F$2 + AJ155* $H$2)*EXP($H$1*$F$1/$L$1)</f>
        <v>2.0864141141603812E-3</v>
      </c>
      <c r="AK153" s="18">
        <f>(AL151* $F$2 + AL155* $H$2)*EXP($H$1*$F$1/$L$1)</f>
        <v>1.190153058739188E-3</v>
      </c>
      <c r="AM153" s="18">
        <f>(AN151* $F$2 + AN155* $H$2)*EXP($H$1*$F$1/$L$1)</f>
        <v>5.4381490314334786E-4</v>
      </c>
      <c r="AO153" s="18">
        <f>(AP151* $F$2 + AP155* $H$2)*EXP($H$1*$F$1/$L$1)</f>
        <v>1.5457647321039263E-4</v>
      </c>
      <c r="AQ153" s="18">
        <f>(AR151* $F$2 + AR155* $H$2)*EXP($H$1*$F$1/$L$1)</f>
        <v>0</v>
      </c>
      <c r="AS153" s="18">
        <f>(AT151* $F$2 + AT155* $H$2)*EXP($H$1*$F$1/$L$1)</f>
        <v>0</v>
      </c>
      <c r="AU153" s="18">
        <f>(AV151* $F$2 + AV155* $H$2)*EXP($H$1*$F$1/$L$1)</f>
        <v>0</v>
      </c>
      <c r="AW153" s="18">
        <f>(AX151* $F$2 + AX155* $H$2)*EXP($H$1*$F$1/$L$1)</f>
        <v>0</v>
      </c>
      <c r="AY153" s="16">
        <f>MAX(AY152 - $J$1, 0)</f>
        <v>0</v>
      </c>
    </row>
    <row r="154" spans="17:51" x14ac:dyDescent="0.15">
      <c r="V154">
        <v>8.3059287159215849</v>
      </c>
      <c r="X154">
        <v>8.3059287159215867</v>
      </c>
      <c r="Z154">
        <v>8.3059287159215849</v>
      </c>
      <c r="AB154">
        <v>8.3059287159215849</v>
      </c>
      <c r="AD154">
        <v>8.3059287159215867</v>
      </c>
      <c r="AF154">
        <v>8.3059287159215884</v>
      </c>
      <c r="AH154">
        <v>8.3059287159215884</v>
      </c>
      <c r="AJ154">
        <v>8.3059287159215884</v>
      </c>
      <c r="AL154">
        <v>8.3059287159215884</v>
      </c>
      <c r="AN154">
        <v>8.3059287159215884</v>
      </c>
      <c r="AP154">
        <v>8.3059287159215884</v>
      </c>
      <c r="AR154">
        <v>8.3059287159215884</v>
      </c>
      <c r="AT154">
        <v>8.3059287159215884</v>
      </c>
      <c r="AV154">
        <v>8.3059287159215884</v>
      </c>
      <c r="AX154">
        <v>8.3059287159215884</v>
      </c>
    </row>
    <row r="155" spans="17:51" x14ac:dyDescent="0.15">
      <c r="V155" s="18">
        <f>(W153* $F$2 + W157* $H$2)*EXP($H$1*$F$1/$L$1)</f>
        <v>7.913221478648003E-3</v>
      </c>
      <c r="X155" s="18">
        <f>(Y153* $F$2 + Y157* $H$2)*EXP($H$1*$F$1/$L$1)</f>
        <v>6.4672405721991491E-3</v>
      </c>
      <c r="Z155" s="18">
        <f>(AA153* $F$2 + AA157* $H$2)*EXP($H$1*$F$1/$L$1)</f>
        <v>5.1372673353942654E-3</v>
      </c>
      <c r="AB155" s="18">
        <f>(AC153* $F$2 + AC157* $H$2)*EXP($H$1*$F$1/$L$1)</f>
        <v>3.9359572916147102E-3</v>
      </c>
      <c r="AD155" s="18">
        <f>(AE153* $F$2 + AE157* $H$2)*EXP($H$1*$F$1/$L$1)</f>
        <v>2.8765659716755089E-3</v>
      </c>
      <c r="AF155" s="18">
        <f>(AG153* $F$2 + AG157* $H$2)*EXP($H$1*$F$1/$L$1)</f>
        <v>1.9723410364877758E-3</v>
      </c>
      <c r="AH155" s="18">
        <f>(AI153* $F$2 + AI157* $H$2)*EXP($H$1*$F$1/$L$1)</f>
        <v>1.2353747896050175E-3</v>
      </c>
      <c r="AJ155" s="18">
        <f>(AK153* $F$2 + AK157* $H$2)*EXP($H$1*$F$1/$L$1)</f>
        <v>6.7455081602503899E-4</v>
      </c>
      <c r="AL155" s="18">
        <f>(AM153* $F$2 + AM157* $H$2)*EXP($H$1*$F$1/$L$1)</f>
        <v>2.9202233188677183E-4</v>
      </c>
      <c r="AN155" s="18">
        <f>(AO153* $F$2 + AO157* $H$2)*EXP($H$1*$F$1/$L$1)</f>
        <v>7.7498033653090903E-5</v>
      </c>
      <c r="AP155" s="18">
        <f>(AQ153* $F$2 + AQ157* $H$2)*EXP($H$1*$F$1/$L$1)</f>
        <v>0</v>
      </c>
      <c r="AR155" s="18">
        <f>(AS153* $F$2 + AS157* $H$2)*EXP($H$1*$F$1/$L$1)</f>
        <v>0</v>
      </c>
      <c r="AT155" s="18">
        <f>(AU153* $F$2 + AU157* $H$2)*EXP($H$1*$F$1/$L$1)</f>
        <v>0</v>
      </c>
      <c r="AV155" s="18">
        <f>(AW153* $F$2 + AW157* $H$2)*EXP($H$1*$F$1/$L$1)</f>
        <v>0</v>
      </c>
      <c r="AX155" s="18">
        <f>(AY153* $F$2 + AY157* $H$2)*EXP($H$1*$F$1/$L$1)</f>
        <v>0</v>
      </c>
    </row>
    <row r="156" spans="17:51" x14ac:dyDescent="0.15">
      <c r="W156">
        <v>8.2328374809611464</v>
      </c>
      <c r="Y156">
        <v>8.2328374809611446</v>
      </c>
      <c r="AA156">
        <v>8.2328374809611446</v>
      </c>
      <c r="AC156">
        <v>8.2328374809611464</v>
      </c>
      <c r="AE156">
        <v>8.2328374809611464</v>
      </c>
      <c r="AG156">
        <v>8.2328374809611464</v>
      </c>
      <c r="AI156">
        <v>8.2328374809611464</v>
      </c>
      <c r="AK156">
        <v>8.2328374809611482</v>
      </c>
      <c r="AM156">
        <v>8.2328374809611482</v>
      </c>
      <c r="AO156">
        <v>8.2328374809611482</v>
      </c>
      <c r="AQ156">
        <v>8.2328374809611464</v>
      </c>
      <c r="AS156">
        <v>8.2328374809611464</v>
      </c>
      <c r="AU156">
        <v>8.2328374809611482</v>
      </c>
      <c r="AW156">
        <v>8.2328374809611482</v>
      </c>
      <c r="AY156">
        <v>8.23283748096115</v>
      </c>
    </row>
    <row r="157" spans="17:51" x14ac:dyDescent="0.15">
      <c r="W157" s="18">
        <f>(X155* $F$2 + X159* $H$2)*EXP($H$1*$F$1/$L$1)</f>
        <v>4.340922893439866E-3</v>
      </c>
      <c r="Y157" s="18">
        <f>(Z155* $F$2 + Z159* $H$2)*EXP($H$1*$F$1/$L$1)</f>
        <v>3.3800980288133066E-3</v>
      </c>
      <c r="AA157" s="18">
        <f>(AB155* $F$2 + AB159* $H$2)*EXP($H$1*$F$1/$L$1)</f>
        <v>2.5317151582442163E-3</v>
      </c>
      <c r="AC157" s="18">
        <f>(AD155* $F$2 + AD159* $H$2)*EXP($H$1*$F$1/$L$1)</f>
        <v>1.8029025066758921E-3</v>
      </c>
      <c r="AE157" s="18">
        <f>(AF155* $F$2 + AF159* $H$2)*EXP($H$1*$F$1/$L$1)</f>
        <v>1.1995585638554314E-3</v>
      </c>
      <c r="AG157" s="18">
        <f>(AH155* $F$2 + AH159* $H$2)*EXP($H$1*$F$1/$L$1)</f>
        <v>7.2526361619225615E-4</v>
      </c>
      <c r="AI157" s="18">
        <f>(AJ155* $F$2 + AJ159* $H$2)*EXP($H$1*$F$1/$L$1)</f>
        <v>3.7965505051046073E-4</v>
      </c>
      <c r="AK157" s="18">
        <f>(AL155* $F$2 + AL159* $H$2)*EXP($H$1*$F$1/$L$1)</f>
        <v>1.5612220569821114E-4</v>
      </c>
      <c r="AM157" s="18">
        <f>(AN155* $F$2 + AN159* $H$2)*EXP($H$1*$F$1/$L$1)</f>
        <v>3.8854200094997454E-5</v>
      </c>
      <c r="AO157" s="18">
        <f>(AP155* $F$2 + AP159* $H$2)*EXP($H$1*$F$1/$L$1)</f>
        <v>0</v>
      </c>
      <c r="AQ157" s="18">
        <f>(AR155* $F$2 + AR159* $H$2)*EXP($H$1*$F$1/$L$1)</f>
        <v>0</v>
      </c>
      <c r="AS157" s="18">
        <f>(AT155* $F$2 + AT159* $H$2)*EXP($H$1*$F$1/$L$1)</f>
        <v>0</v>
      </c>
      <c r="AU157" s="18">
        <f>(AV155* $F$2 + AV159* $H$2)*EXP($H$1*$F$1/$L$1)</f>
        <v>0</v>
      </c>
      <c r="AW157" s="18">
        <f>(AX155* $F$2 + AX159* $H$2)*EXP($H$1*$F$1/$L$1)</f>
        <v>0</v>
      </c>
      <c r="AY157" s="16">
        <f>MAX(AY156 - $J$1, 0)</f>
        <v>0</v>
      </c>
    </row>
    <row r="158" spans="17:51" x14ac:dyDescent="0.15">
      <c r="X158">
        <v>8.1603894406163526</v>
      </c>
      <c r="Z158">
        <v>8.1603894406163526</v>
      </c>
      <c r="AB158">
        <v>8.1603894406163526</v>
      </c>
      <c r="AD158">
        <v>8.1603894406163562</v>
      </c>
      <c r="AF158">
        <v>8.1603894406163544</v>
      </c>
      <c r="AH158">
        <v>8.1603894406163544</v>
      </c>
      <c r="AJ158">
        <v>8.1603894406163562</v>
      </c>
      <c r="AL158">
        <v>8.1603894406163544</v>
      </c>
      <c r="AN158">
        <v>8.1603894406163544</v>
      </c>
      <c r="AP158">
        <v>8.1603894406163544</v>
      </c>
      <c r="AR158">
        <v>8.1603894406163544</v>
      </c>
      <c r="AT158">
        <v>8.1603894406163562</v>
      </c>
      <c r="AV158">
        <v>8.1603894406163544</v>
      </c>
      <c r="AX158">
        <v>8.1603894406163562</v>
      </c>
    </row>
    <row r="159" spans="17:51" x14ac:dyDescent="0.15">
      <c r="X159" s="18">
        <f>(Y157* $F$2 + Y161* $H$2)*EXP($H$1*$F$1/$L$1)</f>
        <v>2.2027540162680805E-3</v>
      </c>
      <c r="Z159" s="18">
        <f>(AA157* $F$2 + AA161* $H$2)*EXP($H$1*$F$1/$L$1)</f>
        <v>1.6131609693621843E-3</v>
      </c>
      <c r="AB159" s="18">
        <f>(AC157* $F$2 + AC161* $H$2)*EXP($H$1*$F$1/$L$1)</f>
        <v>1.1196883656080247E-3</v>
      </c>
      <c r="AD159" s="18">
        <f>(AE157* $F$2 + AE161* $H$2)*EXP($H$1*$F$1/$L$1)</f>
        <v>7.233036474245105E-4</v>
      </c>
      <c r="AF159" s="18">
        <f>(AG157* $F$2 + AG161* $H$2)*EXP($H$1*$F$1/$L$1)</f>
        <v>4.2251631332807145E-4</v>
      </c>
      <c r="AH159" s="18">
        <f>(AI157* $F$2 + AI161* $H$2)*EXP($H$1*$F$1/$L$1)</f>
        <v>2.1234891936746742E-4</v>
      </c>
      <c r="AJ159" s="18">
        <f>(AK157* $F$2 + AK161* $H$2)*EXP($H$1*$F$1/$L$1)</f>
        <v>8.3143530966451267E-5</v>
      </c>
      <c r="AL159" s="18">
        <f>(AM157* $F$2 + AM161* $H$2)*EXP($H$1*$F$1/$L$1)</f>
        <v>1.9479834440443122E-5</v>
      </c>
      <c r="AN159" s="18">
        <f>(AO157* $F$2 + AO161* $H$2)*EXP($H$1*$F$1/$L$1)</f>
        <v>0</v>
      </c>
      <c r="AP159" s="18">
        <f>(AQ157* $F$2 + AQ161* $H$2)*EXP($H$1*$F$1/$L$1)</f>
        <v>0</v>
      </c>
      <c r="AR159" s="18">
        <f>(AS157* $F$2 + AS161* $H$2)*EXP($H$1*$F$1/$L$1)</f>
        <v>0</v>
      </c>
      <c r="AT159" s="18">
        <f>(AU157* $F$2 + AU161* $H$2)*EXP($H$1*$F$1/$L$1)</f>
        <v>0</v>
      </c>
      <c r="AV159" s="18">
        <f>(AW157* $F$2 + AW161* $H$2)*EXP($H$1*$F$1/$L$1)</f>
        <v>0</v>
      </c>
      <c r="AX159" s="18">
        <f>(AY157* $F$2 + AY161* $H$2)*EXP($H$1*$F$1/$L$1)</f>
        <v>0</v>
      </c>
    </row>
    <row r="160" spans="17:51" x14ac:dyDescent="0.15">
      <c r="Y160">
        <v>8.0885789348472095</v>
      </c>
      <c r="AA160">
        <v>8.0885789348472077</v>
      </c>
      <c r="AC160">
        <v>8.0885789348472095</v>
      </c>
      <c r="AE160">
        <v>8.0885789348472095</v>
      </c>
      <c r="AG160">
        <v>8.0885789348472112</v>
      </c>
      <c r="AI160">
        <v>8.0885789348472112</v>
      </c>
      <c r="AK160">
        <v>8.0885789348472112</v>
      </c>
      <c r="AM160">
        <v>8.0885789348472112</v>
      </c>
      <c r="AO160">
        <v>8.0885789348472112</v>
      </c>
      <c r="AQ160">
        <v>8.0885789348472112</v>
      </c>
      <c r="AS160">
        <v>8.0885789348472112</v>
      </c>
      <c r="AU160">
        <v>8.0885789348472112</v>
      </c>
      <c r="AW160">
        <v>8.088578934847213</v>
      </c>
      <c r="AY160">
        <v>8.088578934847213</v>
      </c>
    </row>
    <row r="161" spans="25:51" x14ac:dyDescent="0.15">
      <c r="Y161" s="18">
        <f>(Z159* $F$2 + Z163* $H$2)*EXP($H$1*$F$1/$L$1)</f>
        <v>1.0188731528142829E-3</v>
      </c>
      <c r="AA161" s="18">
        <f>(AB159* $F$2 + AB163* $H$2)*EXP($H$1*$F$1/$L$1)</f>
        <v>6.8951999359401813E-4</v>
      </c>
      <c r="AC161" s="18">
        <f>(AD159* $F$2 + AD163* $H$2)*EXP($H$1*$F$1/$L$1)</f>
        <v>4.3270075576134885E-4</v>
      </c>
      <c r="AE161" s="18">
        <f>(AF159* $F$2 + AF163* $H$2)*EXP($H$1*$F$1/$L$1)</f>
        <v>2.4442549124092277E-4</v>
      </c>
      <c r="AG161" s="18">
        <f>(AH159* $F$2 + AH163* $H$2)*EXP($H$1*$F$1/$L$1)</f>
        <v>1.1810613243949429E-4</v>
      </c>
      <c r="AI161" s="18">
        <f>(AJ159* $F$2 + AJ163* $H$2)*EXP($H$1*$F$1/$L$1)</f>
        <v>4.4126488078138226E-5</v>
      </c>
      <c r="AK161" s="18">
        <f>(AL159* $F$2 + AL163* $H$2)*EXP($H$1*$F$1/$L$1)</f>
        <v>9.7663559898104967E-6</v>
      </c>
      <c r="AM161" s="18">
        <f>(AN159* $F$2 + AN163* $H$2)*EXP($H$1*$F$1/$L$1)</f>
        <v>0</v>
      </c>
      <c r="AO161" s="18">
        <f>(AP159* $F$2 + AP163* $H$2)*EXP($H$1*$F$1/$L$1)</f>
        <v>0</v>
      </c>
      <c r="AQ161" s="18">
        <f>(AR159* $F$2 + AR163* $H$2)*EXP($H$1*$F$1/$L$1)</f>
        <v>0</v>
      </c>
      <c r="AS161" s="18">
        <f>(AT159* $F$2 + AT163* $H$2)*EXP($H$1*$F$1/$L$1)</f>
        <v>0</v>
      </c>
      <c r="AU161" s="18">
        <f>(AV159* $F$2 + AV163* $H$2)*EXP($H$1*$F$1/$L$1)</f>
        <v>0</v>
      </c>
      <c r="AW161" s="18">
        <f>(AX159* $F$2 + AX163* $H$2)*EXP($H$1*$F$1/$L$1)</f>
        <v>0</v>
      </c>
      <c r="AY161" s="16">
        <f>MAX(AY160 - $J$1, 0)</f>
        <v>0</v>
      </c>
    </row>
    <row r="162" spans="25:51" x14ac:dyDescent="0.15">
      <c r="Z162">
        <v>8.017400353421424</v>
      </c>
      <c r="AB162">
        <v>8.017400353421424</v>
      </c>
      <c r="AD162">
        <v>8.0174003534214258</v>
      </c>
      <c r="AF162">
        <v>8.0174003534214258</v>
      </c>
      <c r="AH162">
        <v>8.0174003534214258</v>
      </c>
      <c r="AJ162">
        <v>8.0174003534214258</v>
      </c>
      <c r="AL162">
        <v>8.0174003534214258</v>
      </c>
      <c r="AN162">
        <v>8.0174003534214258</v>
      </c>
      <c r="AP162">
        <v>8.0174003534214258</v>
      </c>
      <c r="AR162">
        <v>8.0174003534214275</v>
      </c>
      <c r="AT162">
        <v>8.0174003534214275</v>
      </c>
      <c r="AV162">
        <v>8.0174003534214258</v>
      </c>
      <c r="AX162">
        <v>8.0174003534214258</v>
      </c>
    </row>
    <row r="163" spans="25:51" x14ac:dyDescent="0.15">
      <c r="Z163" s="18">
        <f>(AA161* $F$2 + AA165* $H$2)*EXP($H$1*$F$1/$L$1)</f>
        <v>4.2129738759752472E-4</v>
      </c>
      <c r="AB163" s="18">
        <f>(AC161* $F$2 + AC165* $H$2)*EXP($H$1*$F$1/$L$1)</f>
        <v>2.5697769111641592E-4</v>
      </c>
      <c r="AD163" s="18">
        <f>(AE161* $F$2 + AE165* $H$2)*EXP($H$1*$F$1/$L$1)</f>
        <v>1.4049829022480892E-4</v>
      </c>
      <c r="AF163" s="18">
        <f>(AG161* $F$2 + AG165* $H$2)*EXP($H$1*$F$1/$L$1)</f>
        <v>6.5356998957972429E-5</v>
      </c>
      <c r="AH163" s="18">
        <f>(AI161* $F$2 + AI165* $H$2)*EXP($H$1*$F$1/$L$1)</f>
        <v>2.3347386910926009E-5</v>
      </c>
      <c r="AJ163" s="18">
        <f>(AK161* $F$2 + AK165* $H$2)*EXP($H$1*$F$1/$L$1)</f>
        <v>4.8964332633998337E-6</v>
      </c>
      <c r="AL163" s="18">
        <f>(AM161* $F$2 + AM165* $H$2)*EXP($H$1*$F$1/$L$1)</f>
        <v>0</v>
      </c>
      <c r="AN163" s="18">
        <f>(AO161* $F$2 + AO165* $H$2)*EXP($H$1*$F$1/$L$1)</f>
        <v>0</v>
      </c>
      <c r="AP163" s="18">
        <f>(AQ161* $F$2 + AQ165* $H$2)*EXP($H$1*$F$1/$L$1)</f>
        <v>0</v>
      </c>
      <c r="AR163" s="18">
        <f>(AS161* $F$2 + AS165* $H$2)*EXP($H$1*$F$1/$L$1)</f>
        <v>0</v>
      </c>
      <c r="AT163" s="18">
        <f>(AU161* $F$2 + AU165* $H$2)*EXP($H$1*$F$1/$L$1)</f>
        <v>0</v>
      </c>
      <c r="AV163" s="18">
        <f>(AW161* $F$2 + AW165* $H$2)*EXP($H$1*$F$1/$L$1)</f>
        <v>0</v>
      </c>
      <c r="AX163" s="18">
        <f>(AY161* $F$2 + AY165* $H$2)*EXP($H$1*$F$1/$L$1)</f>
        <v>0</v>
      </c>
    </row>
    <row r="164" spans="25:51" x14ac:dyDescent="0.15">
      <c r="AA164">
        <v>7.946848135476122</v>
      </c>
      <c r="AC164">
        <v>7.9468481354761229</v>
      </c>
      <c r="AE164">
        <v>7.9468481354761229</v>
      </c>
      <c r="AG164">
        <v>7.9468481354761238</v>
      </c>
      <c r="AI164">
        <v>7.9468481354761238</v>
      </c>
      <c r="AK164">
        <v>7.9468481354761238</v>
      </c>
      <c r="AM164">
        <v>7.9468481354761229</v>
      </c>
      <c r="AO164">
        <v>7.9468481354761229</v>
      </c>
      <c r="AQ164">
        <v>7.9468481354761247</v>
      </c>
      <c r="AS164">
        <v>7.9468481354761238</v>
      </c>
      <c r="AU164">
        <v>7.9468481354761247</v>
      </c>
      <c r="AW164">
        <v>7.9468481354761247</v>
      </c>
      <c r="AY164">
        <v>7.9468481354761256</v>
      </c>
    </row>
    <row r="165" spans="25:51" x14ac:dyDescent="0.15">
      <c r="AA165" s="18">
        <f>(AB163* $F$2 + AB167* $H$2)*EXP($H$1*$F$1/$L$1)</f>
        <v>1.5159564893689321E-4</v>
      </c>
      <c r="AC165" s="18">
        <f>(AD163* $F$2 + AD167* $H$2)*EXP($H$1*$F$1/$L$1)</f>
        <v>8.0287974193878533E-5</v>
      </c>
      <c r="AE165" s="18">
        <f>(AF163* $F$2 + AF167* $H$2)*EXP($H$1*$F$1/$L$1)</f>
        <v>3.6000825252946106E-5</v>
      </c>
      <c r="AG165" s="18">
        <f>(AH163* $F$2 + AH167* $H$2)*EXP($H$1*$F$1/$L$1)</f>
        <v>1.2319169380970355E-5</v>
      </c>
      <c r="AI165" s="18">
        <f>(AJ163* $F$2 + AJ167* $H$2)*EXP($H$1*$F$1/$L$1)</f>
        <v>2.4548622564999852E-6</v>
      </c>
      <c r="AK165" s="18">
        <f>(AL163* $F$2 + AL167* $H$2)*EXP($H$1*$F$1/$L$1)</f>
        <v>0</v>
      </c>
      <c r="AM165" s="18">
        <f>(AN163* $F$2 + AN167* $H$2)*EXP($H$1*$F$1/$L$1)</f>
        <v>0</v>
      </c>
      <c r="AO165" s="18">
        <f>(AP163* $F$2 + AP167* $H$2)*EXP($H$1*$F$1/$L$1)</f>
        <v>0</v>
      </c>
      <c r="AQ165" s="18">
        <f>(AR163* $F$2 + AR167* $H$2)*EXP($H$1*$F$1/$L$1)</f>
        <v>0</v>
      </c>
      <c r="AS165" s="18">
        <f>(AT163* $F$2 + AT167* $H$2)*EXP($H$1*$F$1/$L$1)</f>
        <v>0</v>
      </c>
      <c r="AU165" s="18">
        <f>(AV163* $F$2 + AV167* $H$2)*EXP($H$1*$F$1/$L$1)</f>
        <v>0</v>
      </c>
      <c r="AW165" s="18">
        <f>(AX163* $F$2 + AX167* $H$2)*EXP($H$1*$F$1/$L$1)</f>
        <v>0</v>
      </c>
      <c r="AY165" s="16">
        <f>MAX(AY164 - $J$1, 0)</f>
        <v>0</v>
      </c>
    </row>
    <row r="166" spans="25:51" x14ac:dyDescent="0.15">
      <c r="AB166">
        <v>7.8769167690833903</v>
      </c>
      <c r="AD166">
        <v>7.8769167690833912</v>
      </c>
      <c r="AF166">
        <v>7.8769167690833912</v>
      </c>
      <c r="AH166">
        <v>7.8769167690833912</v>
      </c>
      <c r="AJ166">
        <v>7.8769167690833921</v>
      </c>
      <c r="AL166">
        <v>7.8769167690833903</v>
      </c>
      <c r="AN166">
        <v>7.8769167690833912</v>
      </c>
      <c r="AP166">
        <v>7.8769167690833921</v>
      </c>
      <c r="AR166">
        <v>7.8769167690833912</v>
      </c>
      <c r="AT166">
        <v>7.876916769083393</v>
      </c>
      <c r="AV166">
        <v>7.8769167690833912</v>
      </c>
      <c r="AX166">
        <v>7.8769167690833921</v>
      </c>
    </row>
    <row r="167" spans="25:51" x14ac:dyDescent="0.15">
      <c r="AB167" s="18">
        <f>(AC165* $F$2 + AC169* $H$2)*EXP($H$1*$F$1/$L$1)</f>
        <v>4.5634215552243369E-5</v>
      </c>
      <c r="AD167" s="18">
        <f>(AE165* $F$2 + AE169* $H$2)*EXP($H$1*$F$1/$L$1)</f>
        <v>1.9747414328560013E-5</v>
      </c>
      <c r="AF167" s="18">
        <f>(AG165* $F$2 + AG169* $H$2)*EXP($H$1*$F$1/$L$1)</f>
        <v>6.484031773920076E-6</v>
      </c>
      <c r="AH167" s="18">
        <f>(AI165* $F$2 + AI169* $H$2)*EXP($H$1*$F$1/$L$1)</f>
        <v>1.2307629603438749E-6</v>
      </c>
      <c r="AJ167" s="18">
        <f>(AK165* $F$2 + AK169* $H$2)*EXP($H$1*$F$1/$L$1)</f>
        <v>0</v>
      </c>
      <c r="AL167" s="18">
        <f>(AM165* $F$2 + AM169* $H$2)*EXP($H$1*$F$1/$L$1)</f>
        <v>0</v>
      </c>
      <c r="AN167" s="18">
        <f>(AO165* $F$2 + AO169* $H$2)*EXP($H$1*$F$1/$L$1)</f>
        <v>0</v>
      </c>
      <c r="AP167" s="18">
        <f>(AQ165* $F$2 + AQ169* $H$2)*EXP($H$1*$F$1/$L$1)</f>
        <v>0</v>
      </c>
      <c r="AR167" s="18">
        <f>(AS165* $F$2 + AS169* $H$2)*EXP($H$1*$F$1/$L$1)</f>
        <v>0</v>
      </c>
      <c r="AT167" s="18">
        <f>(AU165* $F$2 + AU169* $H$2)*EXP($H$1*$F$1/$L$1)</f>
        <v>0</v>
      </c>
      <c r="AV167" s="18">
        <f>(AW165* $F$2 + AW169* $H$2)*EXP($H$1*$F$1/$L$1)</f>
        <v>0</v>
      </c>
      <c r="AX167" s="18">
        <f>(AY165* $F$2 + AY169* $H$2)*EXP($H$1*$F$1/$L$1)</f>
        <v>0</v>
      </c>
    </row>
    <row r="168" spans="25:51" x14ac:dyDescent="0.15">
      <c r="AC168">
        <v>7.8076007908196612</v>
      </c>
      <c r="AE168">
        <v>7.8076007908196612</v>
      </c>
      <c r="AG168">
        <v>7.8076007908196612</v>
      </c>
      <c r="AI168">
        <v>7.8076007908196612</v>
      </c>
      <c r="AK168">
        <v>7.8076007908196612</v>
      </c>
      <c r="AM168">
        <v>7.8076007908196612</v>
      </c>
      <c r="AO168">
        <v>7.8076007908196621</v>
      </c>
      <c r="AQ168">
        <v>7.8076007908196621</v>
      </c>
      <c r="AS168">
        <v>7.8076007908196621</v>
      </c>
      <c r="AU168">
        <v>7.807600790819663</v>
      </c>
      <c r="AW168">
        <v>7.8076007908196638</v>
      </c>
      <c r="AY168">
        <v>7.8076007908196638</v>
      </c>
    </row>
    <row r="169" spans="25:51" x14ac:dyDescent="0.15">
      <c r="AC169" s="18">
        <f>(AD167* $F$2 + AD171* $H$2)*EXP($H$1*$F$1/$L$1)</f>
        <v>1.0790458737243198E-5</v>
      </c>
      <c r="AE169" s="18">
        <f>(AF167* $F$2 + AF171* $H$2)*EXP($H$1*$F$1/$L$1)</f>
        <v>3.4050974393570358E-6</v>
      </c>
      <c r="AG169" s="18">
        <f>(AH167* $F$2 + AH171* $H$2)*EXP($H$1*$F$1/$L$1)</f>
        <v>6.1705191830767292E-7</v>
      </c>
      <c r="AI169" s="18">
        <f>(AJ167* $F$2 + AJ171* $H$2)*EXP($H$1*$F$1/$L$1)</f>
        <v>0</v>
      </c>
      <c r="AK169" s="18">
        <f>(AL167* $F$2 + AL171* $H$2)*EXP($H$1*$F$1/$L$1)</f>
        <v>0</v>
      </c>
      <c r="AM169" s="18">
        <f>(AN167* $F$2 + AN171* $H$2)*EXP($H$1*$F$1/$L$1)</f>
        <v>0</v>
      </c>
      <c r="AO169" s="18">
        <f>(AP167* $F$2 + AP171* $H$2)*EXP($H$1*$F$1/$L$1)</f>
        <v>0</v>
      </c>
      <c r="AQ169" s="18">
        <f>(AR167* $F$2 + AR171* $H$2)*EXP($H$1*$F$1/$L$1)</f>
        <v>0</v>
      </c>
      <c r="AS169" s="18">
        <f>(AT167* $F$2 + AT171* $H$2)*EXP($H$1*$F$1/$L$1)</f>
        <v>0</v>
      </c>
      <c r="AU169" s="18">
        <f>(AV167* $F$2 + AV171* $H$2)*EXP($H$1*$F$1/$L$1)</f>
        <v>0</v>
      </c>
      <c r="AW169" s="18">
        <f>(AX167* $F$2 + AX171* $H$2)*EXP($H$1*$F$1/$L$1)</f>
        <v>0</v>
      </c>
      <c r="AY169" s="16">
        <f>MAX(AY168 - $J$1, 0)</f>
        <v>0</v>
      </c>
    </row>
    <row r="170" spans="25:51" x14ac:dyDescent="0.15">
      <c r="AD170">
        <v>7.7388947853388768</v>
      </c>
      <c r="AF170">
        <v>7.7388947853388759</v>
      </c>
      <c r="AH170">
        <v>7.738894785338875</v>
      </c>
      <c r="AJ170">
        <v>7.7388947853388759</v>
      </c>
      <c r="AL170">
        <v>7.738894785338875</v>
      </c>
      <c r="AN170">
        <v>7.7388947853388768</v>
      </c>
      <c r="AP170">
        <v>7.7388947853388759</v>
      </c>
      <c r="AR170">
        <v>7.7388947853388768</v>
      </c>
      <c r="AT170">
        <v>7.7388947853388768</v>
      </c>
      <c r="AV170">
        <v>7.7388947853388768</v>
      </c>
      <c r="AX170">
        <v>7.7388947853388768</v>
      </c>
    </row>
    <row r="171" spans="25:51" x14ac:dyDescent="0.15">
      <c r="AD171" s="18">
        <f>(AE169* $F$2 + AE173* $H$2)*EXP($H$1*$F$1/$L$1)</f>
        <v>1.784520232603758E-6</v>
      </c>
      <c r="AF171" s="18">
        <f>(AG169* $F$2 + AG173* $H$2)*EXP($H$1*$F$1/$L$1)</f>
        <v>3.0936344540365166E-7</v>
      </c>
      <c r="AH171" s="18">
        <f>(AI169* $F$2 + AI173* $H$2)*EXP($H$1*$F$1/$L$1)</f>
        <v>0</v>
      </c>
      <c r="AJ171" s="18">
        <f>(AK169* $F$2 + AK173* $H$2)*EXP($H$1*$F$1/$L$1)</f>
        <v>0</v>
      </c>
      <c r="AL171" s="18">
        <f>(AM169* $F$2 + AM173* $H$2)*EXP($H$1*$F$1/$L$1)</f>
        <v>0</v>
      </c>
      <c r="AN171" s="18">
        <f>(AO169* $F$2 + AO173* $H$2)*EXP($H$1*$F$1/$L$1)</f>
        <v>0</v>
      </c>
      <c r="AP171" s="18">
        <f>(AQ169* $F$2 + AQ173* $H$2)*EXP($H$1*$F$1/$L$1)</f>
        <v>0</v>
      </c>
      <c r="AR171" s="18">
        <f>(AS169* $F$2 + AS173* $H$2)*EXP($H$1*$F$1/$L$1)</f>
        <v>0</v>
      </c>
      <c r="AT171" s="18">
        <f>(AU169* $F$2 + AU173* $H$2)*EXP($H$1*$F$1/$L$1)</f>
        <v>0</v>
      </c>
      <c r="AV171" s="18">
        <f>(AW169* $F$2 + AW173* $H$2)*EXP($H$1*$F$1/$L$1)</f>
        <v>0</v>
      </c>
      <c r="AX171" s="18">
        <f>(AY169* $F$2 + AY173* $H$2)*EXP($H$1*$F$1/$L$1)</f>
        <v>0</v>
      </c>
    </row>
    <row r="172" spans="25:51" x14ac:dyDescent="0.15">
      <c r="AE172">
        <v>7.6707933849494099</v>
      </c>
      <c r="AG172">
        <v>7.6707933849494108</v>
      </c>
      <c r="AI172">
        <v>7.6707933849494099</v>
      </c>
      <c r="AK172">
        <v>7.6707933849494108</v>
      </c>
      <c r="AM172">
        <v>7.6707933849494117</v>
      </c>
      <c r="AO172">
        <v>7.6707933849494108</v>
      </c>
      <c r="AQ172">
        <v>7.6707933849494117</v>
      </c>
      <c r="AS172">
        <v>7.6707933849494108</v>
      </c>
      <c r="AU172">
        <v>7.6707933849494125</v>
      </c>
      <c r="AW172">
        <v>7.6707933849494125</v>
      </c>
      <c r="AY172">
        <v>7.6707933849494125</v>
      </c>
    </row>
    <row r="173" spans="25:51" x14ac:dyDescent="0.15">
      <c r="AE173" s="18">
        <f>(AF171* $F$2 + AF175* $H$2)*EXP($H$1*$F$1/$L$1)</f>
        <v>1.5510160249481245E-7</v>
      </c>
      <c r="AG173" s="18">
        <f>(AH171* $F$2 + AH175* $H$2)*EXP($H$1*$F$1/$L$1)</f>
        <v>0</v>
      </c>
      <c r="AI173" s="18">
        <f>(AJ171* $F$2 + AJ175* $H$2)*EXP($H$1*$F$1/$L$1)</f>
        <v>0</v>
      </c>
      <c r="AK173" s="18">
        <f>(AL171* $F$2 + AL175* $H$2)*EXP($H$1*$F$1/$L$1)</f>
        <v>0</v>
      </c>
      <c r="AM173" s="18">
        <f>(AN171* $F$2 + AN175* $H$2)*EXP($H$1*$F$1/$L$1)</f>
        <v>0</v>
      </c>
      <c r="AO173" s="18">
        <f>(AP171* $F$2 + AP175* $H$2)*EXP($H$1*$F$1/$L$1)</f>
        <v>0</v>
      </c>
      <c r="AQ173" s="18">
        <f>(AR171* $F$2 + AR175* $H$2)*EXP($H$1*$F$1/$L$1)</f>
        <v>0</v>
      </c>
      <c r="AS173" s="18">
        <f>(AT171* $F$2 + AT175* $H$2)*EXP($H$1*$F$1/$L$1)</f>
        <v>0</v>
      </c>
      <c r="AU173" s="18">
        <f>(AV171* $F$2 + AV175* $H$2)*EXP($H$1*$F$1/$L$1)</f>
        <v>0</v>
      </c>
      <c r="AW173" s="18">
        <f>(AX171* $F$2 + AX175* $H$2)*EXP($H$1*$F$1/$L$1)</f>
        <v>0</v>
      </c>
      <c r="AY173" s="16">
        <f>MAX(AY172 - $J$1, 0)</f>
        <v>0</v>
      </c>
    </row>
    <row r="174" spans="25:51" x14ac:dyDescent="0.15">
      <c r="AF174">
        <v>7.6032912691947212</v>
      </c>
      <c r="AH174">
        <v>7.6032912691947212</v>
      </c>
      <c r="AJ174">
        <v>7.6032912691947221</v>
      </c>
      <c r="AL174">
        <v>7.6032912691947221</v>
      </c>
      <c r="AN174">
        <v>7.6032912691947221</v>
      </c>
      <c r="AP174">
        <v>7.603291269194723</v>
      </c>
      <c r="AR174">
        <v>7.6032912691947221</v>
      </c>
      <c r="AT174">
        <v>7.6032912691947239</v>
      </c>
      <c r="AV174">
        <v>7.603291269194723</v>
      </c>
      <c r="AX174">
        <v>7.603291269194723</v>
      </c>
    </row>
    <row r="175" spans="25:51" x14ac:dyDescent="0.15">
      <c r="AF175" s="18">
        <f>(AG173* $F$2 + AG177* $H$2)*EXP($H$1*$F$1/$L$1)</f>
        <v>0</v>
      </c>
      <c r="AH175" s="18">
        <f>(AI173* $F$2 + AI177* $H$2)*EXP($H$1*$F$1/$L$1)</f>
        <v>0</v>
      </c>
      <c r="AJ175" s="18">
        <f>(AK173* $F$2 + AK177* $H$2)*EXP($H$1*$F$1/$L$1)</f>
        <v>0</v>
      </c>
      <c r="AL175" s="18">
        <f>(AM173* $F$2 + AM177* $H$2)*EXP($H$1*$F$1/$L$1)</f>
        <v>0</v>
      </c>
      <c r="AN175" s="18">
        <f>(AO173* $F$2 + AO177* $H$2)*EXP($H$1*$F$1/$L$1)</f>
        <v>0</v>
      </c>
      <c r="AP175" s="18">
        <f>(AQ173* $F$2 + AQ177* $H$2)*EXP($H$1*$F$1/$L$1)</f>
        <v>0</v>
      </c>
      <c r="AR175" s="18">
        <f>(AS173* $F$2 + AS177* $H$2)*EXP($H$1*$F$1/$L$1)</f>
        <v>0</v>
      </c>
      <c r="AT175" s="18">
        <f>(AU173* $F$2 + AU177* $H$2)*EXP($H$1*$F$1/$L$1)</f>
        <v>0</v>
      </c>
      <c r="AV175" s="18">
        <f>(AW173* $F$2 + AW177* $H$2)*EXP($H$1*$F$1/$L$1)</f>
        <v>0</v>
      </c>
      <c r="AX175" s="18">
        <f>(AY173* $F$2 + AY177* $H$2)*EXP($H$1*$F$1/$L$1)</f>
        <v>0</v>
      </c>
    </row>
    <row r="176" spans="25:51" x14ac:dyDescent="0.15">
      <c r="AG176">
        <v>7.536383164437682</v>
      </c>
      <c r="AI176">
        <v>7.5363831644376829</v>
      </c>
      <c r="AK176">
        <v>7.5363831644376837</v>
      </c>
      <c r="AM176">
        <v>7.5363831644376829</v>
      </c>
      <c r="AO176">
        <v>7.5363831644376837</v>
      </c>
      <c r="AQ176">
        <v>7.5363831644376837</v>
      </c>
      <c r="AS176">
        <v>7.5363831644376837</v>
      </c>
      <c r="AU176">
        <v>7.5363831644376846</v>
      </c>
      <c r="AW176">
        <v>7.5363831644376855</v>
      </c>
      <c r="AY176">
        <v>7.5363831644376864</v>
      </c>
    </row>
    <row r="177" spans="33:51" x14ac:dyDescent="0.15">
      <c r="AG177" s="18">
        <f>(AH175* $F$2 + AH179* $H$2)*EXP($H$1*$F$1/$L$1)</f>
        <v>0</v>
      </c>
      <c r="AI177" s="18">
        <f>(AJ175* $F$2 + AJ179* $H$2)*EXP($H$1*$F$1/$L$1)</f>
        <v>0</v>
      </c>
      <c r="AK177" s="18">
        <f>(AL175* $F$2 + AL179* $H$2)*EXP($H$1*$F$1/$L$1)</f>
        <v>0</v>
      </c>
      <c r="AM177" s="18">
        <f>(AN175* $F$2 + AN179* $H$2)*EXP($H$1*$F$1/$L$1)</f>
        <v>0</v>
      </c>
      <c r="AO177" s="18">
        <f>(AP175* $F$2 + AP179* $H$2)*EXP($H$1*$F$1/$L$1)</f>
        <v>0</v>
      </c>
      <c r="AQ177" s="18">
        <f>(AR175* $F$2 + AR179* $H$2)*EXP($H$1*$F$1/$L$1)</f>
        <v>0</v>
      </c>
      <c r="AS177" s="18">
        <f>(AT175* $F$2 + AT179* $H$2)*EXP($H$1*$F$1/$L$1)</f>
        <v>0</v>
      </c>
      <c r="AU177" s="18">
        <f>(AV175* $F$2 + AV179* $H$2)*EXP($H$1*$F$1/$L$1)</f>
        <v>0</v>
      </c>
      <c r="AW177" s="18">
        <f>(AX175* $F$2 + AX179* $H$2)*EXP($H$1*$F$1/$L$1)</f>
        <v>0</v>
      </c>
      <c r="AY177" s="16">
        <f>MAX(AY176 - $J$1, 0)</f>
        <v>0</v>
      </c>
    </row>
    <row r="178" spans="33:51" x14ac:dyDescent="0.15">
      <c r="AH178">
        <v>7.4700638434485773</v>
      </c>
      <c r="AJ178">
        <v>7.4700638434485791</v>
      </c>
      <c r="AL178">
        <v>7.4700638434485782</v>
      </c>
      <c r="AN178">
        <v>7.4700638434485791</v>
      </c>
      <c r="AP178">
        <v>7.4700638434485791</v>
      </c>
      <c r="AR178">
        <v>7.4700638434485791</v>
      </c>
      <c r="AT178">
        <v>7.47006384344858</v>
      </c>
      <c r="AV178">
        <v>7.4700638434485791</v>
      </c>
      <c r="AX178">
        <v>7.47006384344858</v>
      </c>
    </row>
    <row r="179" spans="33:51" x14ac:dyDescent="0.15">
      <c r="AH179" s="18">
        <f>(AI177* $F$2 + AI181* $H$2)*EXP($H$1*$F$1/$L$1)</f>
        <v>0</v>
      </c>
      <c r="AJ179" s="18">
        <f>(AK177* $F$2 + AK181* $H$2)*EXP($H$1*$F$1/$L$1)</f>
        <v>0</v>
      </c>
      <c r="AL179" s="18">
        <f>(AM177* $F$2 + AM181* $H$2)*EXP($H$1*$F$1/$L$1)</f>
        <v>0</v>
      </c>
      <c r="AN179" s="18">
        <f>(AO177* $F$2 + AO181* $H$2)*EXP($H$1*$F$1/$L$1)</f>
        <v>0</v>
      </c>
      <c r="AP179" s="18">
        <f>(AQ177* $F$2 + AQ181* $H$2)*EXP($H$1*$F$1/$L$1)</f>
        <v>0</v>
      </c>
      <c r="AR179" s="18">
        <f>(AS177* $F$2 + AS181* $H$2)*EXP($H$1*$F$1/$L$1)</f>
        <v>0</v>
      </c>
      <c r="AT179" s="18">
        <f>(AU177* $F$2 + AU181* $H$2)*EXP($H$1*$F$1/$L$1)</f>
        <v>0</v>
      </c>
      <c r="AV179" s="18">
        <f>(AW177* $F$2 + AW181* $H$2)*EXP($H$1*$F$1/$L$1)</f>
        <v>0</v>
      </c>
      <c r="AX179" s="18">
        <f>(AY177* $F$2 + AY181* $H$2)*EXP($H$1*$F$1/$L$1)</f>
        <v>0</v>
      </c>
    </row>
    <row r="180" spans="33:51" x14ac:dyDescent="0.15">
      <c r="AI180">
        <v>7.4043281249967245</v>
      </c>
      <c r="AK180">
        <v>7.4043281249967245</v>
      </c>
      <c r="AM180">
        <v>7.4043281249967245</v>
      </c>
      <c r="AO180">
        <v>7.4043281249967245</v>
      </c>
      <c r="AQ180">
        <v>7.4043281249967254</v>
      </c>
      <c r="AS180">
        <v>7.4043281249967254</v>
      </c>
      <c r="AU180">
        <v>7.4043281249967254</v>
      </c>
      <c r="AW180">
        <v>7.4043281249967272</v>
      </c>
      <c r="AY180">
        <v>7.4043281249967272</v>
      </c>
    </row>
    <row r="181" spans="33:51" x14ac:dyDescent="0.15">
      <c r="AI181" s="18">
        <f>(AJ179* $F$2 + AJ183* $H$2)*EXP($H$1*$F$1/$L$1)</f>
        <v>0</v>
      </c>
      <c r="AK181" s="18">
        <f>(AL179* $F$2 + AL183* $H$2)*EXP($H$1*$F$1/$L$1)</f>
        <v>0</v>
      </c>
      <c r="AM181" s="18">
        <f>(AN179* $F$2 + AN183* $H$2)*EXP($H$1*$F$1/$L$1)</f>
        <v>0</v>
      </c>
      <c r="AO181" s="18">
        <f>(AP179* $F$2 + AP183* $H$2)*EXP($H$1*$F$1/$L$1)</f>
        <v>0</v>
      </c>
      <c r="AQ181" s="18">
        <f>(AR179* $F$2 + AR183* $H$2)*EXP($H$1*$F$1/$L$1)</f>
        <v>0</v>
      </c>
      <c r="AS181" s="18">
        <f>(AT179* $F$2 + AT183* $H$2)*EXP($H$1*$F$1/$L$1)</f>
        <v>0</v>
      </c>
      <c r="AU181" s="18">
        <f>(AV179* $F$2 + AV183* $H$2)*EXP($H$1*$F$1/$L$1)</f>
        <v>0</v>
      </c>
      <c r="AW181" s="18">
        <f>(AX179* $F$2 + AX183* $H$2)*EXP($H$1*$F$1/$L$1)</f>
        <v>0</v>
      </c>
      <c r="AY181" s="16">
        <f>MAX(AY180 - $J$1, 0)</f>
        <v>0</v>
      </c>
    </row>
    <row r="182" spans="33:51" x14ac:dyDescent="0.15">
      <c r="AJ182">
        <v>7.3391708734456813</v>
      </c>
      <c r="AL182">
        <v>7.3391708734456813</v>
      </c>
      <c r="AN182">
        <v>7.3391708734456813</v>
      </c>
      <c r="AP182">
        <v>7.3391708734456822</v>
      </c>
      <c r="AR182">
        <v>7.3391708734456822</v>
      </c>
      <c r="AT182">
        <v>7.3391708734456831</v>
      </c>
      <c r="AV182">
        <v>7.3391708734456831</v>
      </c>
      <c r="AX182">
        <v>7.3391708734456831</v>
      </c>
    </row>
    <row r="183" spans="33:51" x14ac:dyDescent="0.15">
      <c r="AJ183" s="18">
        <f>(AK181* $F$2 + AK185* $H$2)*EXP($H$1*$F$1/$L$1)</f>
        <v>0</v>
      </c>
      <c r="AL183" s="18">
        <f>(AM181* $F$2 + AM185* $H$2)*EXP($H$1*$F$1/$L$1)</f>
        <v>0</v>
      </c>
      <c r="AN183" s="18">
        <f>(AO181* $F$2 + AO185* $H$2)*EXP($H$1*$F$1/$L$1)</f>
        <v>0</v>
      </c>
      <c r="AP183" s="18">
        <f>(AQ181* $F$2 + AQ185* $H$2)*EXP($H$1*$F$1/$L$1)</f>
        <v>0</v>
      </c>
      <c r="AR183" s="18">
        <f>(AS181* $F$2 + AS185* $H$2)*EXP($H$1*$F$1/$L$1)</f>
        <v>0</v>
      </c>
      <c r="AT183" s="18">
        <f>(AU181* $F$2 + AU185* $H$2)*EXP($H$1*$F$1/$L$1)</f>
        <v>0</v>
      </c>
      <c r="AV183" s="18">
        <f>(AW181* $F$2 + AW185* $H$2)*EXP($H$1*$F$1/$L$1)</f>
        <v>0</v>
      </c>
      <c r="AX183" s="18">
        <f>(AY181* $F$2 + AY185* $H$2)*EXP($H$1*$F$1/$L$1)</f>
        <v>0</v>
      </c>
    </row>
    <row r="184" spans="33:51" x14ac:dyDescent="0.15">
      <c r="AK184">
        <v>7.2745869983520315</v>
      </c>
      <c r="AM184">
        <v>7.2745869983520306</v>
      </c>
      <c r="AO184">
        <v>7.2745869983520315</v>
      </c>
      <c r="AQ184">
        <v>7.2745869983520324</v>
      </c>
      <c r="AS184">
        <v>7.2745869983520315</v>
      </c>
      <c r="AU184">
        <v>7.2745869983520333</v>
      </c>
      <c r="AW184">
        <v>7.2745869983520333</v>
      </c>
      <c r="AY184">
        <v>7.2745869983520342</v>
      </c>
    </row>
    <row r="185" spans="33:51" x14ac:dyDescent="0.15">
      <c r="AK185" s="18">
        <f>(AL183* $F$2 + AL187* $H$2)*EXP($H$1*$F$1/$L$1)</f>
        <v>0</v>
      </c>
      <c r="AM185" s="18">
        <f>(AN183* $F$2 + AN187* $H$2)*EXP($H$1*$F$1/$L$1)</f>
        <v>0</v>
      </c>
      <c r="AO185" s="18">
        <f>(AP183* $F$2 + AP187* $H$2)*EXP($H$1*$F$1/$L$1)</f>
        <v>0</v>
      </c>
      <c r="AQ185" s="18">
        <f>(AR183* $F$2 + AR187* $H$2)*EXP($H$1*$F$1/$L$1)</f>
        <v>0</v>
      </c>
      <c r="AS185" s="18">
        <f>(AT183* $F$2 + AT187* $H$2)*EXP($H$1*$F$1/$L$1)</f>
        <v>0</v>
      </c>
      <c r="AU185" s="18">
        <f>(AV183* $F$2 + AV187* $H$2)*EXP($H$1*$F$1/$L$1)</f>
        <v>0</v>
      </c>
      <c r="AW185" s="18">
        <f>(AX183* $F$2 + AX187* $H$2)*EXP($H$1*$F$1/$L$1)</f>
        <v>0</v>
      </c>
      <c r="AY185" s="16">
        <f>MAX(AY184 - $J$1, 0)</f>
        <v>0</v>
      </c>
    </row>
    <row r="186" spans="33:51" x14ac:dyDescent="0.15">
      <c r="AL186">
        <v>7.2105714540676829</v>
      </c>
      <c r="AN186">
        <v>7.2105714540676837</v>
      </c>
      <c r="AP186">
        <v>7.2105714540676837</v>
      </c>
      <c r="AR186">
        <v>7.2105714540676837</v>
      </c>
      <c r="AT186">
        <v>7.2105714540676855</v>
      </c>
      <c r="AV186">
        <v>7.2105714540676846</v>
      </c>
      <c r="AX186">
        <v>7.2105714540676846</v>
      </c>
    </row>
    <row r="187" spans="33:51" x14ac:dyDescent="0.15">
      <c r="AL187" s="18">
        <f>(AM185* $F$2 + AM189* $H$2)*EXP($H$1*$F$1/$L$1)</f>
        <v>0</v>
      </c>
      <c r="AN187" s="18">
        <f>(AO185* $F$2 + AO189* $H$2)*EXP($H$1*$F$1/$L$1)</f>
        <v>0</v>
      </c>
      <c r="AP187" s="18">
        <f>(AQ185* $F$2 + AQ189* $H$2)*EXP($H$1*$F$1/$L$1)</f>
        <v>0</v>
      </c>
      <c r="AR187" s="18">
        <f>(AS185* $F$2 + AS189* $H$2)*EXP($H$1*$F$1/$L$1)</f>
        <v>0</v>
      </c>
      <c r="AT187" s="18">
        <f>(AU185* $F$2 + AU189* $H$2)*EXP($H$1*$F$1/$L$1)</f>
        <v>0</v>
      </c>
      <c r="AV187" s="18">
        <f>(AW185* $F$2 + AW189* $H$2)*EXP($H$1*$F$1/$L$1)</f>
        <v>0</v>
      </c>
      <c r="AX187" s="18">
        <f>(AY185* $F$2 + AY189* $H$2)*EXP($H$1*$F$1/$L$1)</f>
        <v>0</v>
      </c>
    </row>
    <row r="188" spans="33:51" x14ac:dyDescent="0.15">
      <c r="AM188">
        <v>7.1471192393456802</v>
      </c>
      <c r="AO188">
        <v>7.1471192393456811</v>
      </c>
      <c r="AQ188">
        <v>7.1471192393456811</v>
      </c>
      <c r="AS188">
        <v>7.1471192393456819</v>
      </c>
      <c r="AU188">
        <v>7.1471192393456819</v>
      </c>
      <c r="AW188">
        <v>7.1471192393456828</v>
      </c>
      <c r="AY188">
        <v>7.1471192393456828</v>
      </c>
    </row>
    <row r="189" spans="33:51" x14ac:dyDescent="0.15">
      <c r="AM189" s="18">
        <f>(AN187* $F$2 + AN191* $H$2)*EXP($H$1*$F$1/$L$1)</f>
        <v>0</v>
      </c>
      <c r="AO189" s="18">
        <f>(AP187* $F$2 + AP191* $H$2)*EXP($H$1*$F$1/$L$1)</f>
        <v>0</v>
      </c>
      <c r="AQ189" s="18">
        <f>(AR187* $F$2 + AR191* $H$2)*EXP($H$1*$F$1/$L$1)</f>
        <v>0</v>
      </c>
      <c r="AS189" s="18">
        <f>(AT187* $F$2 + AT191* $H$2)*EXP($H$1*$F$1/$L$1)</f>
        <v>0</v>
      </c>
      <c r="AU189" s="18">
        <f>(AV187* $F$2 + AV191* $H$2)*EXP($H$1*$F$1/$L$1)</f>
        <v>0</v>
      </c>
      <c r="AW189" s="18">
        <f>(AX187* $F$2 + AX191* $H$2)*EXP($H$1*$F$1/$L$1)</f>
        <v>0</v>
      </c>
      <c r="AY189" s="16">
        <f>MAX(AY188 - $J$1, 0)</f>
        <v>0</v>
      </c>
    </row>
    <row r="190" spans="33:51" x14ac:dyDescent="0.15">
      <c r="AN190">
        <v>7.0842253969494733</v>
      </c>
      <c r="AP190">
        <v>7.0842253969494742</v>
      </c>
      <c r="AR190">
        <v>7.0842253969494751</v>
      </c>
      <c r="AT190">
        <v>7.0842253969494751</v>
      </c>
      <c r="AV190">
        <v>7.0842253969494742</v>
      </c>
      <c r="AX190">
        <v>7.0842253969494751</v>
      </c>
    </row>
    <row r="191" spans="33:51" x14ac:dyDescent="0.15">
      <c r="AN191" s="18">
        <f>(AO189* $F$2 + AO193* $H$2)*EXP($H$1*$F$1/$L$1)</f>
        <v>0</v>
      </c>
      <c r="AP191" s="18">
        <f>(AQ189* $F$2 + AQ193* $H$2)*EXP($H$1*$F$1/$L$1)</f>
        <v>0</v>
      </c>
      <c r="AR191" s="18">
        <f>(AS189* $F$2 + AS193* $H$2)*EXP($H$1*$F$1/$L$1)</f>
        <v>0</v>
      </c>
      <c r="AT191" s="18">
        <f>(AU189* $F$2 + AU193* $H$2)*EXP($H$1*$F$1/$L$1)</f>
        <v>0</v>
      </c>
      <c r="AV191" s="18">
        <f>(AW189* $F$2 + AW193* $H$2)*EXP($H$1*$F$1/$L$1)</f>
        <v>0</v>
      </c>
      <c r="AX191" s="18">
        <f>(AY189* $F$2 + AY193* $H$2)*EXP($H$1*$F$1/$L$1)</f>
        <v>0</v>
      </c>
    </row>
    <row r="192" spans="33:51" x14ac:dyDescent="0.15">
      <c r="AO192">
        <v>7.0218850132656367</v>
      </c>
      <c r="AQ192">
        <v>7.0218850132656376</v>
      </c>
      <c r="AS192">
        <v>7.0218850132656367</v>
      </c>
      <c r="AU192">
        <v>7.0218850132656376</v>
      </c>
      <c r="AW192">
        <v>7.0218850132656385</v>
      </c>
      <c r="AY192">
        <v>7.0218850132656376</v>
      </c>
    </row>
    <row r="193" spans="41:51" x14ac:dyDescent="0.15">
      <c r="AO193" s="18">
        <f>(AP191* $F$2 + AP195* $H$2)*EXP($H$1*$F$1/$L$1)</f>
        <v>0</v>
      </c>
      <c r="AQ193" s="18">
        <f>(AR191* $F$2 + AR195* $H$2)*EXP($H$1*$F$1/$L$1)</f>
        <v>0</v>
      </c>
      <c r="AS193" s="18">
        <f>(AT191* $F$2 + AT195* $H$2)*EXP($H$1*$F$1/$L$1)</f>
        <v>0</v>
      </c>
      <c r="AU193" s="18">
        <f>(AV191* $F$2 + AV195* $H$2)*EXP($H$1*$F$1/$L$1)</f>
        <v>0</v>
      </c>
      <c r="AW193" s="18">
        <f>(AX191* $F$2 + AX195* $H$2)*EXP($H$1*$F$1/$L$1)</f>
        <v>0</v>
      </c>
      <c r="AY193" s="16">
        <f>MAX(AY192 - $J$1, 0)</f>
        <v>0</v>
      </c>
    </row>
    <row r="194" spans="41:51" x14ac:dyDescent="0.15">
      <c r="AP194">
        <v>6.9600932179199857</v>
      </c>
      <c r="AR194">
        <v>6.9600932179199857</v>
      </c>
      <c r="AT194">
        <v>6.9600932179199866</v>
      </c>
      <c r="AV194">
        <v>6.9600932179199857</v>
      </c>
      <c r="AX194">
        <v>6.9600932179199857</v>
      </c>
    </row>
    <row r="195" spans="41:51" x14ac:dyDescent="0.15">
      <c r="AP195" s="18">
        <f>(AQ193* $F$2 + AQ197* $H$2)*EXP($H$1*$F$1/$L$1)</f>
        <v>0</v>
      </c>
      <c r="AR195" s="18">
        <f>(AS193* $F$2 + AS197* $H$2)*EXP($H$1*$F$1/$L$1)</f>
        <v>0</v>
      </c>
      <c r="AT195" s="18">
        <f>(AU193* $F$2 + AU197* $H$2)*EXP($H$1*$F$1/$L$1)</f>
        <v>0</v>
      </c>
      <c r="AV195" s="18">
        <f>(AW193* $F$2 + AW197* $H$2)*EXP($H$1*$F$1/$L$1)</f>
        <v>0</v>
      </c>
      <c r="AX195" s="18">
        <f>(AY193* $F$2 + AY197* $H$2)*EXP($H$1*$F$1/$L$1)</f>
        <v>0</v>
      </c>
    </row>
    <row r="196" spans="41:51" x14ac:dyDescent="0.15">
      <c r="AQ196">
        <v>6.8988451833970803</v>
      </c>
      <c r="AS196">
        <v>6.8988451833970794</v>
      </c>
      <c r="AU196">
        <v>6.8988451833970803</v>
      </c>
      <c r="AW196">
        <v>6.8988451833970803</v>
      </c>
      <c r="AY196">
        <v>6.8988451833970812</v>
      </c>
    </row>
    <row r="197" spans="41:51" x14ac:dyDescent="0.15">
      <c r="AQ197" s="18">
        <f>(AR195* $F$2 + AR199* $H$2)*EXP($H$1*$F$1/$L$1)</f>
        <v>0</v>
      </c>
      <c r="AS197" s="18">
        <f>(AT195* $F$2 + AT199* $H$2)*EXP($H$1*$F$1/$L$1)</f>
        <v>0</v>
      </c>
      <c r="AU197" s="18">
        <f>(AV195* $F$2 + AV199* $H$2)*EXP($H$1*$F$1/$L$1)</f>
        <v>0</v>
      </c>
      <c r="AW197" s="18">
        <f>(AX195* $F$2 + AX199* $H$2)*EXP($H$1*$F$1/$L$1)</f>
        <v>0</v>
      </c>
      <c r="AY197" s="16">
        <f>MAX(AY196 - $J$1, 0)</f>
        <v>0</v>
      </c>
    </row>
    <row r="198" spans="41:51" x14ac:dyDescent="0.15">
      <c r="AR198">
        <v>6.8381361246630696</v>
      </c>
      <c r="AT198">
        <v>6.8381361246630714</v>
      </c>
      <c r="AV198">
        <v>6.8381361246630696</v>
      </c>
      <c r="AX198">
        <v>6.8381361246630705</v>
      </c>
    </row>
    <row r="199" spans="41:51" x14ac:dyDescent="0.15">
      <c r="AR199" s="18">
        <f>(AS197* $F$2 + AS201* $H$2)*EXP($H$1*$F$1/$L$1)</f>
        <v>0</v>
      </c>
      <c r="AT199" s="18">
        <f>(AU197* $F$2 + AU201* $H$2)*EXP($H$1*$F$1/$L$1)</f>
        <v>0</v>
      </c>
      <c r="AV199" s="18">
        <f>(AW197* $F$2 + AW201* $H$2)*EXP($H$1*$F$1/$L$1)</f>
        <v>0</v>
      </c>
      <c r="AX199" s="18">
        <f>(AY197* $F$2 + AY201* $H$2)*EXP($H$1*$F$1/$L$1)</f>
        <v>0</v>
      </c>
    </row>
    <row r="200" spans="41:51" x14ac:dyDescent="0.15">
      <c r="AS200">
        <v>6.7779612987918654</v>
      </c>
      <c r="AU200">
        <v>6.7779612987918654</v>
      </c>
      <c r="AW200">
        <v>6.7779612987918663</v>
      </c>
      <c r="AY200">
        <v>6.7779612987918663</v>
      </c>
    </row>
    <row r="201" spans="41:51" x14ac:dyDescent="0.15">
      <c r="AS201" s="18">
        <f>(AT199* $F$2 + AT203* $H$2)*EXP($H$1*$F$1/$L$1)</f>
        <v>0</v>
      </c>
      <c r="AU201" s="18">
        <f>(AV199* $F$2 + AV203* $H$2)*EXP($H$1*$F$1/$L$1)</f>
        <v>0</v>
      </c>
      <c r="AW201" s="18">
        <f>(AX199* $F$2 + AX203* $H$2)*EXP($H$1*$F$1/$L$1)</f>
        <v>0</v>
      </c>
      <c r="AY201" s="16">
        <f>MAX(AY200 - $J$1, 0)</f>
        <v>0</v>
      </c>
    </row>
    <row r="202" spans="41:51" x14ac:dyDescent="0.15">
      <c r="AT202">
        <v>6.7183160045945867</v>
      </c>
      <c r="AV202">
        <v>6.7183160045945858</v>
      </c>
      <c r="AX202">
        <v>6.7183160045945867</v>
      </c>
    </row>
    <row r="203" spans="41:51" x14ac:dyDescent="0.15">
      <c r="AT203" s="18">
        <f>(AU201* $F$2 + AU205* $H$2)*EXP($H$1*$F$1/$L$1)</f>
        <v>0</v>
      </c>
      <c r="AV203" s="18">
        <f>(AW201* $F$2 + AW205* $H$2)*EXP($H$1*$F$1/$L$1)</f>
        <v>0</v>
      </c>
      <c r="AX203" s="18">
        <f>(AY201* $F$2 + AY205* $H$2)*EXP($H$1*$F$1/$L$1)</f>
        <v>0</v>
      </c>
    </row>
    <row r="204" spans="41:51" x14ac:dyDescent="0.15">
      <c r="AU204">
        <v>6.6591955822522877</v>
      </c>
      <c r="AW204">
        <v>6.6591955822522886</v>
      </c>
      <c r="AY204">
        <v>6.6591955822522877</v>
      </c>
    </row>
    <row r="205" spans="41:51" x14ac:dyDescent="0.15">
      <c r="AU205" s="18">
        <f>(AV203* $F$2 + AV207* $H$2)*EXP($H$1*$F$1/$L$1)</f>
        <v>0</v>
      </c>
      <c r="AW205" s="18">
        <f>(AX203* $F$2 + AX207* $H$2)*EXP($H$1*$F$1/$L$1)</f>
        <v>0</v>
      </c>
      <c r="AY205" s="16">
        <f>MAX(AY204 - $J$1, 0)</f>
        <v>0</v>
      </c>
    </row>
    <row r="206" spans="41:51" x14ac:dyDescent="0.15">
      <c r="AV206">
        <v>6.6005954129519031</v>
      </c>
      <c r="AX206">
        <v>6.6005954129519022</v>
      </c>
    </row>
    <row r="207" spans="41:51" x14ac:dyDescent="0.15">
      <c r="AV207" s="18">
        <f>(AW205* $F$2 + AW209* $H$2)*EXP($H$1*$F$1/$L$1)</f>
        <v>0</v>
      </c>
      <c r="AX207" s="18">
        <f>(AY205* $F$2 + AY209* $H$2)*EXP($H$1*$F$1/$L$1)</f>
        <v>0</v>
      </c>
    </row>
    <row r="208" spans="41:51" x14ac:dyDescent="0.15">
      <c r="AW208">
        <v>6.5425109185254007</v>
      </c>
      <c r="AY208">
        <v>6.5425109185254016</v>
      </c>
    </row>
    <row r="209" spans="49:51" x14ac:dyDescent="0.15">
      <c r="AW209" s="18">
        <f>(AX207* $F$2 + AX211* $H$2)*EXP($H$1*$F$1/$L$1)</f>
        <v>0</v>
      </c>
      <c r="AY209" s="16">
        <f>MAX(AY208 - $J$1, 0)</f>
        <v>0</v>
      </c>
    </row>
    <row r="210" spans="49:51" x14ac:dyDescent="0.15">
      <c r="AX210">
        <v>6.4849375610921092</v>
      </c>
    </row>
    <row r="211" spans="49:51" x14ac:dyDescent="0.15">
      <c r="AX211" s="18">
        <f>(AY209* $F$2 + AY213* $H$2)*EXP($H$1*$F$1/$L$1)</f>
        <v>0</v>
      </c>
    </row>
    <row r="212" spans="49:51" x14ac:dyDescent="0.15">
      <c r="AY212">
        <v>6.4278708427041984</v>
      </c>
    </row>
    <row r="213" spans="49:51" x14ac:dyDescent="0.15">
      <c r="AY213" s="16">
        <f>MAX(AY212 - $J$1, 0)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erate_BinaryTree">
                <anchor moveWithCells="1" sizeWithCells="1">
                  <from>
                    <xdr:col>12</xdr:col>
                    <xdr:colOff>495300</xdr:colOff>
                    <xdr:row>0</xdr:row>
                    <xdr:rowOff>66675</xdr:rowOff>
                  </from>
                  <to>
                    <xdr:col>13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70"/>
  <sheetViews>
    <sheetView workbookViewId="0">
      <selection activeCell="I11" sqref="I11"/>
    </sheetView>
  </sheetViews>
  <sheetFormatPr defaultRowHeight="13.5" x14ac:dyDescent="0.15"/>
  <cols>
    <col min="1" max="1" width="14.125" bestFit="1" customWidth="1"/>
    <col min="2" max="2" width="9.5" bestFit="1" customWidth="1"/>
    <col min="3" max="3" width="15.125" bestFit="1" customWidth="1"/>
    <col min="4" max="5" width="9.5" bestFit="1" customWidth="1"/>
    <col min="6" max="6" width="12.75" bestFit="1" customWidth="1"/>
    <col min="7" max="7" width="12.75" customWidth="1"/>
    <col min="8" max="8" width="12.75" bestFit="1" customWidth="1"/>
    <col min="9" max="10" width="9.625" customWidth="1"/>
    <col min="11" max="11" width="10.75" customWidth="1"/>
  </cols>
  <sheetData>
    <row r="1" spans="1:11" x14ac:dyDescent="0.15">
      <c r="A1" t="s">
        <v>97</v>
      </c>
      <c r="B1">
        <v>10</v>
      </c>
      <c r="C1" t="s">
        <v>89</v>
      </c>
      <c r="D1" s="4">
        <v>0.03</v>
      </c>
    </row>
    <row r="2" spans="1:11" x14ac:dyDescent="0.15">
      <c r="A2" t="s">
        <v>98</v>
      </c>
      <c r="B2">
        <v>101.65</v>
      </c>
      <c r="C2" t="s">
        <v>96</v>
      </c>
      <c r="D2" s="14">
        <f>IY($B$1,$D$1*100,100,$B2,6%)</f>
        <v>2.8084557537631831E-2</v>
      </c>
    </row>
    <row r="3" spans="1:11" x14ac:dyDescent="0.15">
      <c r="A3" t="s">
        <v>99</v>
      </c>
      <c r="B3">
        <v>101.17</v>
      </c>
      <c r="C3" t="s">
        <v>96</v>
      </c>
      <c r="D3" s="14">
        <f>IY($B$1,$D$1*100,100,$B3,6%)</f>
        <v>2.8637920362397186E-2</v>
      </c>
    </row>
    <row r="4" spans="1:11" x14ac:dyDescent="0.15">
      <c r="A4" t="s">
        <v>100</v>
      </c>
      <c r="B4">
        <v>100.785</v>
      </c>
      <c r="C4" t="s">
        <v>96</v>
      </c>
      <c r="D4" s="14">
        <f>IY($B$1,$D$1*100,100,$B4,6%)</f>
        <v>2.9084037139549053E-2</v>
      </c>
    </row>
    <row r="9" spans="1:11" x14ac:dyDescent="0.15">
      <c r="A9" t="s">
        <v>76</v>
      </c>
      <c r="B9" t="s">
        <v>77</v>
      </c>
      <c r="C9" s="10">
        <v>101.955</v>
      </c>
      <c r="D9" t="s">
        <v>82</v>
      </c>
      <c r="E9" s="9">
        <v>2.5305999999999999E-2</v>
      </c>
      <c r="F9" t="s">
        <v>89</v>
      </c>
      <c r="G9" s="4">
        <v>0.03</v>
      </c>
      <c r="H9" t="s">
        <v>96</v>
      </c>
      <c r="I9" s="14">
        <f>IY(5,3,100,$C9,6%)</f>
        <v>2.5782441066343562E-2</v>
      </c>
    </row>
    <row r="10" spans="1:11" x14ac:dyDescent="0.15">
      <c r="A10" t="s">
        <v>80</v>
      </c>
      <c r="B10" t="s">
        <v>78</v>
      </c>
      <c r="C10" s="10">
        <v>101.69</v>
      </c>
      <c r="E10" s="8"/>
      <c r="F10" t="s">
        <v>89</v>
      </c>
      <c r="G10" s="4">
        <v>0.03</v>
      </c>
      <c r="H10" t="s">
        <v>96</v>
      </c>
      <c r="I10" s="14">
        <f>IY(5,3,100,$C10,6%)</f>
        <v>2.6348198407746829E-2</v>
      </c>
    </row>
    <row r="11" spans="1:11" x14ac:dyDescent="0.15">
      <c r="B11" t="s">
        <v>79</v>
      </c>
      <c r="C11" s="10">
        <v>101.395</v>
      </c>
      <c r="F11" t="s">
        <v>89</v>
      </c>
      <c r="G11" s="4">
        <v>0.03</v>
      </c>
      <c r="H11" t="s">
        <v>96</v>
      </c>
      <c r="I11" s="14">
        <f>IY(5,3,100,$C11,6%)</f>
        <v>2.698016919611845E-2</v>
      </c>
    </row>
    <row r="12" spans="1:11" x14ac:dyDescent="0.15">
      <c r="A12" t="s">
        <v>81</v>
      </c>
      <c r="B12">
        <v>1</v>
      </c>
      <c r="C12">
        <v>2</v>
      </c>
      <c r="D12">
        <v>3</v>
      </c>
      <c r="E12">
        <v>4</v>
      </c>
      <c r="F12">
        <v>5</v>
      </c>
    </row>
    <row r="13" spans="1:11" x14ac:dyDescent="0.15">
      <c r="B13">
        <v>3</v>
      </c>
      <c r="C13">
        <v>3</v>
      </c>
      <c r="D13">
        <v>3</v>
      </c>
      <c r="E13">
        <v>3</v>
      </c>
      <c r="F13">
        <v>103</v>
      </c>
    </row>
    <row r="14" spans="1:11" x14ac:dyDescent="0.15">
      <c r="A14">
        <f>SUM(B14:F14)</f>
        <v>102.17883226236236</v>
      </c>
      <c r="B14">
        <f>B13/(1+$E$9)^B12</f>
        <v>2.9259557634501308</v>
      </c>
      <c r="C14">
        <f t="shared" ref="C14:F14" si="0">C13/(1+$E$9)^C12</f>
        <v>2.8537390432223462</v>
      </c>
      <c r="D14">
        <f t="shared" si="0"/>
        <v>2.7833047336330283</v>
      </c>
      <c r="E14">
        <f t="shared" si="0"/>
        <v>2.7146088422705303</v>
      </c>
      <c r="F14">
        <f t="shared" si="0"/>
        <v>90.901223879786329</v>
      </c>
    </row>
    <row r="15" spans="1:11" x14ac:dyDescent="0.15">
      <c r="A15" s="12">
        <f>PV(E9,5,3,100)</f>
        <v>-102.17883226236239</v>
      </c>
      <c r="K15" s="15">
        <f ca="1">TODAY()</f>
        <v>42594</v>
      </c>
    </row>
    <row r="16" spans="1:11" x14ac:dyDescent="0.15">
      <c r="C16">
        <f>101.955</f>
        <v>101.955</v>
      </c>
    </row>
    <row r="17" spans="1:12" x14ac:dyDescent="0.15">
      <c r="A17" t="s">
        <v>83</v>
      </c>
      <c r="B17" t="s">
        <v>84</v>
      </c>
      <c r="C17" t="s">
        <v>85</v>
      </c>
      <c r="D17" t="s">
        <v>86</v>
      </c>
      <c r="E17" t="s">
        <v>87</v>
      </c>
      <c r="F17" t="s">
        <v>88</v>
      </c>
      <c r="G17" t="s">
        <v>92</v>
      </c>
      <c r="H17" t="s">
        <v>91</v>
      </c>
      <c r="I17" t="s">
        <v>94</v>
      </c>
      <c r="J17" t="s">
        <v>95</v>
      </c>
      <c r="K17" t="s">
        <v>90</v>
      </c>
      <c r="L17" t="s">
        <v>93</v>
      </c>
    </row>
    <row r="18" spans="1:12" x14ac:dyDescent="0.15">
      <c r="A18" s="8">
        <v>0.03</v>
      </c>
      <c r="B18" s="11">
        <f>ABS(PV(A18,5,3,100))</f>
        <v>100</v>
      </c>
      <c r="C18">
        <f>$C$16</f>
        <v>101.955</v>
      </c>
      <c r="D18" s="11">
        <f>B18-C18</f>
        <v>-1.9549999999999983</v>
      </c>
      <c r="E18" s="8">
        <f>D18/C18</f>
        <v>-1.9175126281202475E-2</v>
      </c>
      <c r="F18" s="13">
        <f>-100/(1+A18)^6</f>
        <v>-83.748425668365442</v>
      </c>
      <c r="G18" s="8">
        <v>0.03</v>
      </c>
      <c r="H18" s="11">
        <f>ABS(PV(G18,5,3,100))</f>
        <v>100</v>
      </c>
      <c r="I18" s="11">
        <f>H18-$C$16</f>
        <v>-1.9549999999999983</v>
      </c>
      <c r="J18" s="8">
        <f>I18/$C$16</f>
        <v>-1.9175126281202475E-2</v>
      </c>
      <c r="K18">
        <f>MDURATION(DATE(2016,5,11),DATE(2021,5,19),3%,A18,1)</f>
        <v>4.467892630501705</v>
      </c>
      <c r="L18" s="8">
        <f>J18/K18</f>
        <v>-4.2917607621759876E-3</v>
      </c>
    </row>
    <row r="19" spans="1:12" x14ac:dyDescent="0.15">
      <c r="A19" s="8">
        <f>A18*(1-D18/F18)</f>
        <v>2.9299688328085743E-2</v>
      </c>
      <c r="B19" s="11">
        <f>ABS(PV(A19,5,3,100))</f>
        <v>100.32136455269138</v>
      </c>
      <c r="C19">
        <f t="shared" ref="C19:C82" si="1">$C$16</f>
        <v>101.955</v>
      </c>
      <c r="D19" s="11">
        <f>B19-C19</f>
        <v>-1.6336354473086203</v>
      </c>
      <c r="E19" s="8">
        <f>D19/C19</f>
        <v>-1.6023102813090287E-2</v>
      </c>
      <c r="F19" s="13">
        <f>-100/(1+A19)^6</f>
        <v>-84.090890655771958</v>
      </c>
      <c r="G19" s="8">
        <f>G18+L18</f>
        <v>2.5708239237824011E-2</v>
      </c>
      <c r="H19" s="11">
        <f>ABS(PV(G19,5,3,100))</f>
        <v>101.98981985387198</v>
      </c>
      <c r="I19" s="11">
        <f>H19-$C$16</f>
        <v>3.4819853871979944E-2</v>
      </c>
      <c r="J19" s="8">
        <f>I19/$C$16</f>
        <v>3.4152178776891711E-4</v>
      </c>
      <c r="K19">
        <f>MDURATION(DATE(2016,5,11),DATE(2021,5,19),3%,A19,1)</f>
        <v>4.4718456676753089</v>
      </c>
      <c r="L19" s="8">
        <f>J19/K19</f>
        <v>7.6371550618932113E-5</v>
      </c>
    </row>
    <row r="20" spans="1:12" x14ac:dyDescent="0.15">
      <c r="A20" s="8">
        <f t="shared" ref="A20:A43" si="2">A19*(1-D19/F19)</f>
        <v>2.8730482685541275E-2</v>
      </c>
      <c r="B20" s="11">
        <f t="shared" ref="B20:B38" si="3">ABS(PV(A20,5,3,100))</f>
        <v>100.58351522912309</v>
      </c>
      <c r="C20">
        <f t="shared" si="1"/>
        <v>101.955</v>
      </c>
      <c r="D20" s="11">
        <f t="shared" ref="D20:D38" si="4">B20-C20</f>
        <v>-1.3714847708769042</v>
      </c>
      <c r="E20" s="8">
        <f t="shared" ref="E20:E38" si="5">D20/C20</f>
        <v>-1.3451863772025936E-2</v>
      </c>
      <c r="F20" s="13">
        <f t="shared" ref="F20:F43" si="6">-100/(1+A20)^6</f>
        <v>-84.37044649347763</v>
      </c>
      <c r="G20" s="8">
        <f t="shared" ref="G20:G30" si="7">G19+L19</f>
        <v>2.5784610788442942E-2</v>
      </c>
      <c r="H20" s="11">
        <f t="shared" ref="H20:H30" si="8">ABS(PV(G20,5,3,100))</f>
        <v>101.95398206198551</v>
      </c>
      <c r="I20" s="11">
        <f t="shared" ref="I20:I30" si="9">H20-$C$16</f>
        <v>-1.0179380144847983E-3</v>
      </c>
      <c r="J20" s="8">
        <f t="shared" ref="J20:J30" si="10">I20/$C$16</f>
        <v>-9.9841892451061577E-6</v>
      </c>
      <c r="K20">
        <f t="shared" ref="K20:K30" si="11">MDURATION(DATE(2016,5,11),DATE(2021,5,19),3%,A20,1)</f>
        <v>4.475061549497843</v>
      </c>
      <c r="L20" s="8">
        <f t="shared" ref="L20:L30" si="12">J20/K20</f>
        <v>-2.2310730555709357E-6</v>
      </c>
    </row>
    <row r="21" spans="1:12" x14ac:dyDescent="0.15">
      <c r="A21" s="8">
        <f t="shared" si="2"/>
        <v>2.8263453991243578E-2</v>
      </c>
      <c r="B21" s="11">
        <f t="shared" si="3"/>
        <v>100.79924588080637</v>
      </c>
      <c r="C21">
        <f t="shared" si="1"/>
        <v>101.955</v>
      </c>
      <c r="D21" s="11">
        <f t="shared" si="4"/>
        <v>-1.1557541191936309</v>
      </c>
      <c r="E21" s="8">
        <f t="shared" si="5"/>
        <v>-1.1335923880080732E-2</v>
      </c>
      <c r="F21" s="13">
        <f t="shared" si="6"/>
        <v>-84.600629846838103</v>
      </c>
      <c r="G21" s="8">
        <f t="shared" si="7"/>
        <v>2.5782379715387372E-2</v>
      </c>
      <c r="H21" s="11">
        <f t="shared" si="8"/>
        <v>101.95502878334975</v>
      </c>
      <c r="I21" s="11">
        <f t="shared" si="9"/>
        <v>2.8783349748096043E-5</v>
      </c>
      <c r="J21" s="8">
        <f t="shared" si="10"/>
        <v>2.8231425381880284E-7</v>
      </c>
      <c r="K21">
        <f t="shared" si="11"/>
        <v>4.4777020983460574</v>
      </c>
      <c r="L21" s="8">
        <f t="shared" si="12"/>
        <v>6.3048913844242145E-8</v>
      </c>
    </row>
    <row r="22" spans="1:12" x14ac:dyDescent="0.15">
      <c r="A22" s="8">
        <f t="shared" si="2"/>
        <v>2.7877338622691858E-2</v>
      </c>
      <c r="B22" s="11">
        <f t="shared" si="3"/>
        <v>100.97803665150721</v>
      </c>
      <c r="C22">
        <f t="shared" si="1"/>
        <v>101.955</v>
      </c>
      <c r="D22" s="11">
        <f t="shared" si="4"/>
        <v>-0.97696334849278799</v>
      </c>
      <c r="E22" s="8">
        <f t="shared" si="5"/>
        <v>-9.5822995291333229E-3</v>
      </c>
      <c r="F22" s="13">
        <f t="shared" si="6"/>
        <v>-84.791487028302697</v>
      </c>
      <c r="G22" s="8">
        <f t="shared" si="7"/>
        <v>2.5782442764301215E-2</v>
      </c>
      <c r="H22" s="11">
        <f t="shared" si="8"/>
        <v>101.95499920338813</v>
      </c>
      <c r="I22" s="11">
        <f t="shared" si="9"/>
        <v>-7.9661187157853419E-7</v>
      </c>
      <c r="J22" s="8">
        <f t="shared" si="10"/>
        <v>-7.8133673834391078E-9</v>
      </c>
      <c r="K22">
        <f t="shared" si="11"/>
        <v>4.4798864935074247</v>
      </c>
      <c r="L22" s="8">
        <f t="shared" si="12"/>
        <v>-1.7440994084923366E-9</v>
      </c>
    </row>
    <row r="23" spans="1:12" x14ac:dyDescent="0.15">
      <c r="A23" s="8">
        <f t="shared" si="2"/>
        <v>2.7556137296445491E-2</v>
      </c>
      <c r="B23" s="11">
        <f t="shared" si="3"/>
        <v>101.12707028026426</v>
      </c>
      <c r="C23">
        <f t="shared" si="1"/>
        <v>101.955</v>
      </c>
      <c r="D23" s="11">
        <f t="shared" si="4"/>
        <v>-0.82792971973573515</v>
      </c>
      <c r="E23" s="8">
        <f t="shared" si="5"/>
        <v>-8.1205406280784181E-3</v>
      </c>
      <c r="F23" s="13">
        <f t="shared" si="6"/>
        <v>-84.950639970251046</v>
      </c>
      <c r="G23" s="8">
        <f t="shared" si="7"/>
        <v>2.5782441020201805E-2</v>
      </c>
      <c r="H23" s="11">
        <f t="shared" si="8"/>
        <v>101.95500002164781</v>
      </c>
      <c r="I23" s="11">
        <f t="shared" si="9"/>
        <v>2.1647807102453953E-8</v>
      </c>
      <c r="J23" s="8">
        <f t="shared" si="10"/>
        <v>2.1232707667553286E-10</v>
      </c>
      <c r="K23">
        <f t="shared" si="11"/>
        <v>4.4817045611437418</v>
      </c>
      <c r="L23" s="8">
        <f t="shared" si="12"/>
        <v>4.7376410867508515E-11</v>
      </c>
    </row>
    <row r="24" spans="1:12" x14ac:dyDescent="0.15">
      <c r="A24" s="8">
        <f t="shared" si="2"/>
        <v>2.7287574928500587E-2</v>
      </c>
      <c r="B24" s="11">
        <f t="shared" si="3"/>
        <v>101.25189057776767</v>
      </c>
      <c r="C24">
        <f t="shared" si="1"/>
        <v>101.955</v>
      </c>
      <c r="D24" s="11">
        <f t="shared" si="4"/>
        <v>-0.70310942223233042</v>
      </c>
      <c r="E24" s="8">
        <f t="shared" si="5"/>
        <v>-6.8962721027152219E-3</v>
      </c>
      <c r="F24" s="13">
        <f t="shared" si="6"/>
        <v>-85.083978258702004</v>
      </c>
      <c r="G24" s="8">
        <f t="shared" si="7"/>
        <v>2.5782441067578217E-2</v>
      </c>
      <c r="H24" s="11">
        <f t="shared" si="8"/>
        <v>101.95499999942074</v>
      </c>
      <c r="I24" s="11">
        <f t="shared" si="9"/>
        <v>-5.7926285990106408E-10</v>
      </c>
      <c r="J24" s="8">
        <f t="shared" si="10"/>
        <v>-5.681554214124507E-12</v>
      </c>
      <c r="K24">
        <f t="shared" si="11"/>
        <v>4.4832253195518978</v>
      </c>
      <c r="L24" s="8">
        <f t="shared" si="12"/>
        <v>-1.2672916949649061E-12</v>
      </c>
    </row>
    <row r="25" spans="1:12" x14ac:dyDescent="0.15">
      <c r="A25" s="8">
        <f t="shared" si="2"/>
        <v>2.7062078290534707E-2</v>
      </c>
      <c r="B25" s="11">
        <f t="shared" si="3"/>
        <v>101.35684347781194</v>
      </c>
      <c r="C25">
        <f t="shared" si="1"/>
        <v>101.955</v>
      </c>
      <c r="D25" s="11">
        <f t="shared" si="4"/>
        <v>-0.59815652218806292</v>
      </c>
      <c r="E25" s="8">
        <f t="shared" si="5"/>
        <v>-5.8668679533918191E-3</v>
      </c>
      <c r="F25" s="13">
        <f t="shared" si="6"/>
        <v>-85.196123486750935</v>
      </c>
      <c r="G25" s="8">
        <f t="shared" si="7"/>
        <v>2.5782441066310925E-2</v>
      </c>
      <c r="H25" s="11">
        <f t="shared" si="8"/>
        <v>101.9550000000153</v>
      </c>
      <c r="I25" s="11">
        <f t="shared" si="9"/>
        <v>1.5305090528272558E-11</v>
      </c>
      <c r="J25" s="8">
        <f t="shared" si="10"/>
        <v>1.5011613484647696E-13</v>
      </c>
      <c r="K25">
        <f t="shared" si="11"/>
        <v>4.4845026638729797</v>
      </c>
      <c r="L25" s="8">
        <f t="shared" si="12"/>
        <v>3.3474422048136596E-14</v>
      </c>
    </row>
    <row r="26" spans="1:12" x14ac:dyDescent="0.15">
      <c r="A26" s="8">
        <f t="shared" si="2"/>
        <v>2.687207717345378E-2</v>
      </c>
      <c r="B26" s="11">
        <f t="shared" si="3"/>
        <v>101.44538098325003</v>
      </c>
      <c r="C26">
        <f t="shared" si="1"/>
        <v>101.955</v>
      </c>
      <c r="D26" s="11">
        <f t="shared" si="4"/>
        <v>-0.50961901674996568</v>
      </c>
      <c r="E26" s="8">
        <f t="shared" si="5"/>
        <v>-4.9984700774848281E-3</v>
      </c>
      <c r="F26" s="13">
        <f t="shared" si="6"/>
        <v>-85.290749771765789</v>
      </c>
      <c r="G26" s="8">
        <f t="shared" si="7"/>
        <v>2.5782441066344398E-2</v>
      </c>
      <c r="H26" s="11">
        <f t="shared" si="8"/>
        <v>101.9549999999996</v>
      </c>
      <c r="I26" s="11">
        <f t="shared" si="9"/>
        <v>-3.979039320256561E-13</v>
      </c>
      <c r="J26" s="8">
        <f t="shared" si="10"/>
        <v>-3.9027407388127713E-15</v>
      </c>
      <c r="K26">
        <f t="shared" si="11"/>
        <v>4.4855792596039361</v>
      </c>
      <c r="L26" s="8">
        <f t="shared" si="12"/>
        <v>-8.7006393443092833E-16</v>
      </c>
    </row>
    <row r="27" spans="1:12" x14ac:dyDescent="0.15">
      <c r="A27" s="8">
        <f t="shared" si="2"/>
        <v>2.6711514374043403E-2</v>
      </c>
      <c r="B27" s="11">
        <f t="shared" si="3"/>
        <v>101.52027586543473</v>
      </c>
      <c r="C27">
        <f t="shared" si="1"/>
        <v>101.955</v>
      </c>
      <c r="D27" s="11">
        <f t="shared" si="4"/>
        <v>-0.43472413456527192</v>
      </c>
      <c r="E27" s="8">
        <f t="shared" si="5"/>
        <v>-4.2638824438749638E-3</v>
      </c>
      <c r="F27" s="13">
        <f t="shared" si="6"/>
        <v>-85.370810489115783</v>
      </c>
      <c r="G27" s="8">
        <f t="shared" si="7"/>
        <v>2.5782441066343528E-2</v>
      </c>
      <c r="H27" s="11">
        <f t="shared" si="8"/>
        <v>101.955</v>
      </c>
      <c r="I27" s="11">
        <f t="shared" si="9"/>
        <v>0</v>
      </c>
      <c r="J27" s="8">
        <f t="shared" si="10"/>
        <v>0</v>
      </c>
      <c r="K27">
        <f t="shared" si="11"/>
        <v>4.4864892775554095</v>
      </c>
      <c r="L27" s="8">
        <f t="shared" si="12"/>
        <v>0</v>
      </c>
    </row>
    <row r="28" spans="1:12" x14ac:dyDescent="0.15">
      <c r="A28" s="8">
        <f t="shared" si="2"/>
        <v>2.6575494346792235E-2</v>
      </c>
      <c r="B28" s="11">
        <f t="shared" si="3"/>
        <v>101.58377664597143</v>
      </c>
      <c r="C28">
        <f t="shared" si="1"/>
        <v>101.955</v>
      </c>
      <c r="D28" s="11">
        <f t="shared" si="4"/>
        <v>-0.37122335402857232</v>
      </c>
      <c r="E28" s="8">
        <f t="shared" si="5"/>
        <v>-3.6410509933654293E-3</v>
      </c>
      <c r="F28" s="13">
        <f t="shared" si="6"/>
        <v>-85.438702157285192</v>
      </c>
      <c r="G28" s="8">
        <f t="shared" si="7"/>
        <v>2.5782441066343528E-2</v>
      </c>
      <c r="H28" s="11">
        <f t="shared" si="8"/>
        <v>101.955</v>
      </c>
      <c r="I28" s="11">
        <f t="shared" si="9"/>
        <v>0</v>
      </c>
      <c r="J28" s="8">
        <f t="shared" si="10"/>
        <v>0</v>
      </c>
      <c r="K28">
        <f t="shared" si="11"/>
        <v>4.4872603580703334</v>
      </c>
      <c r="L28" s="8">
        <f t="shared" si="12"/>
        <v>0</v>
      </c>
    </row>
    <row r="29" spans="1:12" x14ac:dyDescent="0.15">
      <c r="A29" s="8">
        <f t="shared" si="2"/>
        <v>2.6460026252154958E-2</v>
      </c>
      <c r="B29" s="11">
        <f t="shared" si="3"/>
        <v>101.63772163892482</v>
      </c>
      <c r="C29">
        <f t="shared" si="1"/>
        <v>101.955</v>
      </c>
      <c r="D29" s="11">
        <f t="shared" si="4"/>
        <v>-0.31727836107518215</v>
      </c>
      <c r="E29" s="8">
        <f t="shared" si="5"/>
        <v>-3.1119450843527258E-3</v>
      </c>
      <c r="F29" s="13">
        <f t="shared" si="6"/>
        <v>-85.496385177129838</v>
      </c>
      <c r="G29" s="8">
        <f t="shared" si="7"/>
        <v>2.5782441066343528E-2</v>
      </c>
      <c r="H29" s="11">
        <f t="shared" si="8"/>
        <v>101.955</v>
      </c>
      <c r="I29" s="11">
        <f t="shared" si="9"/>
        <v>0</v>
      </c>
      <c r="J29" s="8">
        <f t="shared" si="10"/>
        <v>0</v>
      </c>
      <c r="K29">
        <f t="shared" si="11"/>
        <v>4.4879150496689553</v>
      </c>
      <c r="L29" s="8">
        <f t="shared" si="12"/>
        <v>0</v>
      </c>
    </row>
    <row r="30" spans="1:12" x14ac:dyDescent="0.15">
      <c r="A30" s="8">
        <f t="shared" si="2"/>
        <v>2.6361832699925855E-2</v>
      </c>
      <c r="B30" s="11">
        <f t="shared" si="3"/>
        <v>101.68362431560917</v>
      </c>
      <c r="C30">
        <f t="shared" si="1"/>
        <v>101.955</v>
      </c>
      <c r="D30" s="11">
        <f t="shared" si="4"/>
        <v>-0.27137568439083282</v>
      </c>
      <c r="E30" s="8">
        <f t="shared" si="5"/>
        <v>-2.6617202137299086E-3</v>
      </c>
      <c r="F30" s="13">
        <f t="shared" si="6"/>
        <v>-85.545474309461483</v>
      </c>
      <c r="G30" s="14">
        <f t="shared" si="7"/>
        <v>2.5782441066343528E-2</v>
      </c>
      <c r="H30" s="11">
        <f t="shared" si="8"/>
        <v>101.955</v>
      </c>
      <c r="I30" s="11">
        <f t="shared" si="9"/>
        <v>0</v>
      </c>
      <c r="J30" s="8">
        <f t="shared" si="10"/>
        <v>0</v>
      </c>
      <c r="K30">
        <f t="shared" si="11"/>
        <v>4.4884718813461699</v>
      </c>
      <c r="L30" s="8">
        <f t="shared" si="12"/>
        <v>0</v>
      </c>
    </row>
    <row r="31" spans="1:12" x14ac:dyDescent="0.15">
      <c r="A31" s="8">
        <f t="shared" si="2"/>
        <v>2.6278205127006456E-2</v>
      </c>
      <c r="B31" s="11">
        <f t="shared" si="3"/>
        <v>101.72273818929887</v>
      </c>
      <c r="C31">
        <f t="shared" si="1"/>
        <v>101.955</v>
      </c>
      <c r="D31" s="11">
        <f t="shared" si="4"/>
        <v>-0.23226181070113228</v>
      </c>
      <c r="E31" s="8">
        <f t="shared" si="5"/>
        <v>-2.2780816115063733E-3</v>
      </c>
      <c r="F31" s="13">
        <f t="shared" si="6"/>
        <v>-85.587307515430567</v>
      </c>
      <c r="G31" s="13"/>
    </row>
    <row r="32" spans="1:12" x14ac:dyDescent="0.15">
      <c r="A32" s="8">
        <f t="shared" si="2"/>
        <v>2.6206892876604444E-2</v>
      </c>
      <c r="B32" s="11">
        <f t="shared" si="3"/>
        <v>101.75610681609392</v>
      </c>
      <c r="C32">
        <f t="shared" si="1"/>
        <v>101.955</v>
      </c>
      <c r="D32" s="11">
        <f t="shared" si="4"/>
        <v>-0.19889318390607968</v>
      </c>
      <c r="E32" s="8">
        <f t="shared" si="5"/>
        <v>-1.9507938198821018E-3</v>
      </c>
      <c r="F32" s="13">
        <f t="shared" si="6"/>
        <v>-85.622999054706924</v>
      </c>
      <c r="G32" s="13"/>
    </row>
    <row r="33" spans="1:7" x14ac:dyDescent="0.15">
      <c r="A33" s="8">
        <f t="shared" si="2"/>
        <v>2.6146017032239507E-2</v>
      </c>
      <c r="B33" s="11">
        <f t="shared" si="3"/>
        <v>101.78460280548414</v>
      </c>
      <c r="C33">
        <f t="shared" si="1"/>
        <v>101.955</v>
      </c>
      <c r="D33" s="11">
        <f t="shared" si="4"/>
        <v>-0.17039719451585711</v>
      </c>
      <c r="E33" s="8">
        <f t="shared" si="5"/>
        <v>-1.6712980679305294E-3</v>
      </c>
      <c r="F33" s="13">
        <f t="shared" si="6"/>
        <v>-85.653480947511895</v>
      </c>
      <c r="G33" s="13"/>
    </row>
    <row r="34" spans="1:7" x14ac:dyDescent="0.15">
      <c r="A34" s="8">
        <f t="shared" si="2"/>
        <v>2.6094002707768706E-2</v>
      </c>
      <c r="B34" s="11">
        <f t="shared" si="3"/>
        <v>101.80895859660924</v>
      </c>
      <c r="C34">
        <f t="shared" si="1"/>
        <v>101.955</v>
      </c>
      <c r="D34" s="11">
        <f t="shared" si="4"/>
        <v>-0.146041403390754</v>
      </c>
      <c r="E34" s="8">
        <f t="shared" si="5"/>
        <v>-1.4324104103845227E-3</v>
      </c>
      <c r="F34" s="13">
        <f t="shared" si="6"/>
        <v>-85.679535710020517</v>
      </c>
      <c r="G34" s="13"/>
    </row>
    <row r="35" spans="1:7" x14ac:dyDescent="0.15">
      <c r="A35" s="8">
        <f t="shared" si="2"/>
        <v>2.6049525286830966E-2</v>
      </c>
      <c r="B35" s="11">
        <f t="shared" si="3"/>
        <v>101.82979098208443</v>
      </c>
      <c r="C35">
        <f t="shared" si="1"/>
        <v>101.955</v>
      </c>
      <c r="D35" s="11">
        <f t="shared" si="4"/>
        <v>-0.12520901791556582</v>
      </c>
      <c r="E35" s="8">
        <f t="shared" si="5"/>
        <v>-1.228081191854895E-3</v>
      </c>
      <c r="F35" s="13">
        <f t="shared" si="6"/>
        <v>-85.701822457499048</v>
      </c>
      <c r="G35" s="13"/>
    </row>
    <row r="36" spans="1:7" x14ac:dyDescent="0.15">
      <c r="A36" s="8">
        <f t="shared" si="2"/>
        <v>2.6011467339114063E-2</v>
      </c>
      <c r="B36" s="11">
        <f t="shared" si="3"/>
        <v>101.84762082552267</v>
      </c>
      <c r="C36">
        <f t="shared" si="1"/>
        <v>101.955</v>
      </c>
      <c r="D36" s="11">
        <f t="shared" si="4"/>
        <v>-0.10737917447733025</v>
      </c>
      <c r="E36" s="8">
        <f t="shared" si="5"/>
        <v>-1.0532016524675617E-3</v>
      </c>
      <c r="F36" s="13">
        <f t="shared" si="6"/>
        <v>-85.720897904845728</v>
      </c>
      <c r="G36" s="13"/>
    </row>
    <row r="37" spans="1:7" x14ac:dyDescent="0.15">
      <c r="A37" s="8">
        <f t="shared" si="2"/>
        <v>2.597888380396586E-2</v>
      </c>
      <c r="B37" s="11">
        <f t="shared" si="3"/>
        <v>101.86288904236041</v>
      </c>
      <c r="C37">
        <f t="shared" si="1"/>
        <v>101.955</v>
      </c>
      <c r="D37" s="11">
        <f t="shared" si="4"/>
        <v>-9.2110957639590652E-2</v>
      </c>
      <c r="E37" s="8">
        <f t="shared" si="5"/>
        <v>-9.0344718394969005E-4</v>
      </c>
      <c r="F37" s="13">
        <f t="shared" si="6"/>
        <v>-85.737233396954181</v>
      </c>
      <c r="G37" s="13"/>
    </row>
    <row r="38" spans="1:7" x14ac:dyDescent="0.15">
      <c r="A38" s="8">
        <f t="shared" si="2"/>
        <v>2.5950973644391293E-2</v>
      </c>
      <c r="B38" s="11">
        <f t="shared" si="3"/>
        <v>101.87596964517054</v>
      </c>
      <c r="C38">
        <f t="shared" si="1"/>
        <v>101.955</v>
      </c>
      <c r="D38" s="11">
        <f t="shared" si="4"/>
        <v>-7.9030354829455973E-2</v>
      </c>
      <c r="E38" s="8">
        <f t="shared" si="5"/>
        <v>-7.7514937795552911E-4</v>
      </c>
      <c r="F38" s="13">
        <f t="shared" si="6"/>
        <v>-85.751228817853956</v>
      </c>
      <c r="G38" s="13"/>
    </row>
    <row r="39" spans="1:7" x14ac:dyDescent="0.15">
      <c r="A39" s="8">
        <f t="shared" si="2"/>
        <v>2.5927056615054692E-2</v>
      </c>
      <c r="B39" s="11">
        <f t="shared" ref="B39:B83" si="13">ABS(PV(A39,5,3,100))</f>
        <v>101.88718046073036</v>
      </c>
      <c r="C39">
        <f t="shared" si="1"/>
        <v>101.955</v>
      </c>
      <c r="D39" s="11">
        <f t="shared" ref="D39:D40" si="14">B39-C39</f>
        <v>-6.7819539269635243E-2</v>
      </c>
      <c r="E39" s="8">
        <f t="shared" ref="E39:E40" si="15">D39/C39</f>
        <v>-6.6519091039807016E-4</v>
      </c>
      <c r="F39" s="13">
        <f t="shared" si="6"/>
        <v>-85.763224022636791</v>
      </c>
      <c r="G39" s="13"/>
    </row>
    <row r="40" spans="1:7" x14ac:dyDescent="0.15">
      <c r="A40" s="8">
        <f t="shared" si="2"/>
        <v>2.5906554108831432E-2</v>
      </c>
      <c r="B40" s="11">
        <f t="shared" si="13"/>
        <v>101.89679198426958</v>
      </c>
      <c r="C40">
        <f t="shared" si="1"/>
        <v>101.955</v>
      </c>
      <c r="D40" s="11">
        <f t="shared" si="14"/>
        <v>-5.8208015730414786E-2</v>
      </c>
      <c r="E40" s="8">
        <f t="shared" si="15"/>
        <v>-5.709186967820586E-4</v>
      </c>
      <c r="F40" s="13">
        <f t="shared" si="6"/>
        <v>-85.773508286134131</v>
      </c>
      <c r="G40" s="13"/>
    </row>
    <row r="41" spans="1:7" x14ac:dyDescent="0.15">
      <c r="A41" s="8">
        <f t="shared" si="2"/>
        <v>2.5888973283012144E-2</v>
      </c>
      <c r="B41" s="11">
        <f t="shared" si="13"/>
        <v>101.9050347313491</v>
      </c>
      <c r="C41">
        <f t="shared" si="1"/>
        <v>101.955</v>
      </c>
      <c r="D41" s="11">
        <f t="shared" ref="D41" si="16">B41-C41</f>
        <v>-4.996526865089379E-2</v>
      </c>
      <c r="E41" s="8">
        <f t="shared" ref="E41" si="17">D41/C41</f>
        <v>-4.9007178314838698E-4</v>
      </c>
      <c r="F41" s="13">
        <f t="shared" si="6"/>
        <v>-85.782328151181673</v>
      </c>
      <c r="G41" s="13"/>
    </row>
    <row r="42" spans="1:7" x14ac:dyDescent="0.15">
      <c r="A42" s="8">
        <f t="shared" si="2"/>
        <v>2.5873893842606868E-2</v>
      </c>
      <c r="B42" s="11">
        <f t="shared" si="13"/>
        <v>101.91210536926148</v>
      </c>
      <c r="C42">
        <f t="shared" si="1"/>
        <v>101.955</v>
      </c>
      <c r="D42" s="11">
        <f t="shared" ref="D42" si="18">B42-C42</f>
        <v>-4.2894630738516071E-2</v>
      </c>
      <c r="E42" s="8">
        <f t="shared" ref="E42" si="19">D42/C42</f>
        <v>-4.2072120777319474E-4</v>
      </c>
      <c r="F42" s="13">
        <f t="shared" si="6"/>
        <v>-85.789893976078631</v>
      </c>
      <c r="G42" s="13"/>
    </row>
    <row r="43" spans="1:7" x14ac:dyDescent="0.15">
      <c r="A43" s="8">
        <f t="shared" si="2"/>
        <v>2.5860956991065175E-2</v>
      </c>
      <c r="B43" s="11">
        <f t="shared" si="13"/>
        <v>101.91817185043033</v>
      </c>
      <c r="C43">
        <f t="shared" si="1"/>
        <v>101.955</v>
      </c>
      <c r="D43" s="11">
        <f t="shared" ref="D43" si="20">B43-C43</f>
        <v>-3.6828149569672064E-2</v>
      </c>
      <c r="E43" s="8">
        <f t="shared" ref="E43" si="21">D43/C43</f>
        <v>-3.6121965150970591E-4</v>
      </c>
      <c r="F43" s="13">
        <f t="shared" si="6"/>
        <v>-85.796385417858716</v>
      </c>
      <c r="G43" s="13"/>
    </row>
    <row r="44" spans="1:7" x14ac:dyDescent="0.15">
      <c r="A44" s="8">
        <f t="shared" ref="A44:A59" si="22">A43*(1-D43/F43)</f>
        <v>2.5849856159865313E-2</v>
      </c>
      <c r="B44" s="11">
        <f t="shared" si="13"/>
        <v>101.92337772489709</v>
      </c>
      <c r="C44">
        <f t="shared" si="1"/>
        <v>101.955</v>
      </c>
      <c r="D44" s="11">
        <f t="shared" ref="D44:D59" si="23">B44-C44</f>
        <v>-3.1622275102904496E-2</v>
      </c>
      <c r="E44" s="8">
        <f t="shared" ref="E44:E59" si="24">D44/C44</f>
        <v>-3.1015913984507379E-4</v>
      </c>
      <c r="F44" s="13">
        <f t="shared" ref="F44:F59" si="25">-100/(1+A44)^6</f>
        <v>-85.801956039829051</v>
      </c>
      <c r="G44" s="13"/>
    </row>
    <row r="45" spans="1:7" x14ac:dyDescent="0.15">
      <c r="A45" s="8">
        <f t="shared" si="22"/>
        <v>2.5840329206161854E-2</v>
      </c>
      <c r="B45" s="11">
        <f t="shared" si="13"/>
        <v>101.9278457739732</v>
      </c>
      <c r="C45">
        <f t="shared" si="1"/>
        <v>101.955</v>
      </c>
      <c r="D45" s="11">
        <f t="shared" si="23"/>
        <v>-2.7154226026794959E-2</v>
      </c>
      <c r="E45" s="8">
        <f t="shared" si="24"/>
        <v>-2.6633540313662849E-4</v>
      </c>
      <c r="F45" s="13">
        <f t="shared" si="25"/>
        <v>-85.806737194664649</v>
      </c>
      <c r="G45" s="13"/>
    </row>
    <row r="46" spans="1:7" x14ac:dyDescent="0.15">
      <c r="A46" s="8">
        <f t="shared" si="22"/>
        <v>2.5832151827988401E-2</v>
      </c>
      <c r="B46" s="11">
        <f t="shared" si="13"/>
        <v>101.93168107988284</v>
      </c>
      <c r="C46">
        <f t="shared" si="1"/>
        <v>101.955</v>
      </c>
      <c r="D46" s="11">
        <f t="shared" si="23"/>
        <v>-2.3318920117162634E-2</v>
      </c>
      <c r="E46" s="8">
        <f t="shared" si="24"/>
        <v>-2.2871776879174768E-4</v>
      </c>
      <c r="F46" s="13">
        <f t="shared" si="25"/>
        <v>-85.810841305393708</v>
      </c>
      <c r="G46" s="13"/>
    </row>
    <row r="47" spans="1:7" x14ac:dyDescent="0.15">
      <c r="A47" s="8">
        <f t="shared" si="22"/>
        <v>2.5825131993713762E-2</v>
      </c>
      <c r="B47" s="11">
        <f t="shared" si="13"/>
        <v>101.93497362482253</v>
      </c>
      <c r="C47">
        <f t="shared" si="1"/>
        <v>101.955</v>
      </c>
      <c r="D47" s="11">
        <f t="shared" si="23"/>
        <v>-2.0026375177465638E-2</v>
      </c>
      <c r="E47" s="8">
        <f t="shared" si="24"/>
        <v>-1.9642366904482997E-4</v>
      </c>
      <c r="F47" s="13">
        <f t="shared" si="25"/>
        <v>-85.814364643855143</v>
      </c>
      <c r="G47" s="13"/>
    </row>
    <row r="48" spans="1:7" x14ac:dyDescent="0.15">
      <c r="A48" s="8">
        <f t="shared" si="22"/>
        <v>2.5819105219706168E-2</v>
      </c>
      <c r="B48" s="11">
        <f t="shared" si="13"/>
        <v>101.93780049592023</v>
      </c>
      <c r="C48">
        <f t="shared" si="1"/>
        <v>101.955</v>
      </c>
      <c r="D48" s="11">
        <f t="shared" si="23"/>
        <v>-1.7199504079769667E-2</v>
      </c>
      <c r="E48" s="8">
        <f t="shared" si="24"/>
        <v>-1.6869701417066027E-4</v>
      </c>
      <c r="F48" s="13">
        <f t="shared" si="25"/>
        <v>-85.817389688188953</v>
      </c>
      <c r="G48" s="13"/>
    </row>
    <row r="49" spans="1:7" x14ac:dyDescent="0.15">
      <c r="A49" s="8">
        <f t="shared" si="22"/>
        <v>2.5813930559801274E-2</v>
      </c>
      <c r="B49" s="11">
        <f t="shared" si="13"/>
        <v>101.94022775905665</v>
      </c>
      <c r="C49">
        <f t="shared" si="1"/>
        <v>101.955</v>
      </c>
      <c r="D49" s="11">
        <f t="shared" si="23"/>
        <v>-1.4772240943344173E-2</v>
      </c>
      <c r="E49" s="8">
        <f t="shared" si="24"/>
        <v>-1.4488981357799199E-4</v>
      </c>
      <c r="F49" s="13">
        <f t="shared" si="25"/>
        <v>-85.819987126531245</v>
      </c>
      <c r="G49" s="13"/>
    </row>
    <row r="50" spans="1:7" x14ac:dyDescent="0.15">
      <c r="A50" s="8">
        <f t="shared" si="22"/>
        <v>2.5809487193929382E-2</v>
      </c>
      <c r="B50" s="11">
        <f t="shared" si="13"/>
        <v>101.94231205364481</v>
      </c>
      <c r="C50">
        <f t="shared" si="1"/>
        <v>101.955</v>
      </c>
      <c r="D50" s="11">
        <f t="shared" si="23"/>
        <v>-1.2687946355185886E-2</v>
      </c>
      <c r="E50" s="8">
        <f t="shared" si="24"/>
        <v>-1.2444653381576075E-4</v>
      </c>
      <c r="F50" s="13">
        <f t="shared" si="25"/>
        <v>-85.822217562510374</v>
      </c>
      <c r="G50" s="13"/>
    </row>
    <row r="51" spans="1:7" x14ac:dyDescent="0.15">
      <c r="A51" s="8">
        <f t="shared" si="22"/>
        <v>2.580567152243694E-2</v>
      </c>
      <c r="B51" s="11">
        <f t="shared" si="13"/>
        <v>101.94410195166817</v>
      </c>
      <c r="C51">
        <f t="shared" si="1"/>
        <v>101.955</v>
      </c>
      <c r="D51" s="11">
        <f t="shared" si="23"/>
        <v>-1.0898048331824839E-2</v>
      </c>
      <c r="E51" s="8">
        <f t="shared" si="24"/>
        <v>-1.068907687884345E-4</v>
      </c>
      <c r="F51" s="13">
        <f t="shared" si="25"/>
        <v>-85.824132968770826</v>
      </c>
      <c r="G51" s="13"/>
    </row>
    <row r="52" spans="1:7" x14ac:dyDescent="0.15">
      <c r="A52" s="8">
        <f t="shared" si="22"/>
        <v>2.5802394688220754E-2</v>
      </c>
      <c r="B52" s="11">
        <f t="shared" si="13"/>
        <v>101.94563911711434</v>
      </c>
      <c r="C52">
        <f t="shared" si="1"/>
        <v>101.955</v>
      </c>
      <c r="D52" s="11">
        <f t="shared" si="23"/>
        <v>-9.3608828856588389E-3</v>
      </c>
      <c r="E52" s="8">
        <f t="shared" si="24"/>
        <v>-9.1813867742227841E-5</v>
      </c>
      <c r="F52" s="13">
        <f t="shared" si="25"/>
        <v>-85.825777927114899</v>
      </c>
      <c r="G52" s="13"/>
    </row>
    <row r="53" spans="1:7" x14ac:dyDescent="0.15">
      <c r="A53" s="8">
        <f t="shared" si="22"/>
        <v>2.5799580461531763E-2</v>
      </c>
      <c r="B53" s="11">
        <f t="shared" si="13"/>
        <v>101.94695929607255</v>
      </c>
      <c r="C53">
        <f t="shared" si="1"/>
        <v>101.955</v>
      </c>
      <c r="D53" s="11">
        <f t="shared" si="23"/>
        <v>-8.0407039274490444E-3</v>
      </c>
      <c r="E53" s="8">
        <f t="shared" si="24"/>
        <v>-7.8865224142504482E-5</v>
      </c>
      <c r="F53" s="13">
        <f t="shared" si="25"/>
        <v>-85.827190687595703</v>
      </c>
      <c r="G53" s="13"/>
    </row>
    <row r="54" spans="1:7" x14ac:dyDescent="0.15">
      <c r="A54" s="8">
        <f t="shared" si="22"/>
        <v>2.5797163432775706E-2</v>
      </c>
      <c r="B54" s="11">
        <f t="shared" si="13"/>
        <v>101.94809316292969</v>
      </c>
      <c r="C54">
        <f t="shared" si="1"/>
        <v>101.955</v>
      </c>
      <c r="D54" s="11">
        <f t="shared" si="23"/>
        <v>-6.9068370703035953E-3</v>
      </c>
      <c r="E54" s="8">
        <f t="shared" si="24"/>
        <v>-6.7743975972768333E-5</v>
      </c>
      <c r="F54" s="13">
        <f t="shared" si="25"/>
        <v>-85.828404073734873</v>
      </c>
      <c r="G54" s="13"/>
    </row>
    <row r="55" spans="1:7" x14ac:dyDescent="0.15">
      <c r="A55" s="8">
        <f t="shared" si="22"/>
        <v>2.5795087467288185E-2</v>
      </c>
      <c r="B55" s="11">
        <f t="shared" si="13"/>
        <v>101.94906704409836</v>
      </c>
      <c r="C55">
        <f t="shared" si="1"/>
        <v>101.955</v>
      </c>
      <c r="D55" s="11">
        <f t="shared" si="23"/>
        <v>-5.9329559016418898E-3</v>
      </c>
      <c r="E55" s="8">
        <f t="shared" si="24"/>
        <v>-5.8191907230071008E-5</v>
      </c>
      <c r="F55" s="13">
        <f t="shared" si="25"/>
        <v>-85.829446256769401</v>
      </c>
      <c r="G55" s="13"/>
    </row>
    <row r="56" spans="1:7" x14ac:dyDescent="0.15">
      <c r="A56" s="8">
        <f t="shared" si="22"/>
        <v>2.5793304383240727E-2</v>
      </c>
      <c r="B56" s="11">
        <f t="shared" si="13"/>
        <v>101.9499035373843</v>
      </c>
      <c r="C56">
        <f t="shared" si="1"/>
        <v>101.955</v>
      </c>
      <c r="D56" s="11">
        <f t="shared" si="23"/>
        <v>-5.0964626156968507E-3</v>
      </c>
      <c r="E56" s="8">
        <f t="shared" si="24"/>
        <v>-4.9987373014534362E-5</v>
      </c>
      <c r="F56" s="13">
        <f t="shared" si="25"/>
        <v>-85.83034141828476</v>
      </c>
      <c r="G56" s="13"/>
    </row>
    <row r="57" spans="1:7" x14ac:dyDescent="0.15">
      <c r="A57" s="8">
        <f t="shared" si="22"/>
        <v>2.5791772819817441E-2</v>
      </c>
      <c r="B57" s="11">
        <f t="shared" si="13"/>
        <v>101.95062204232491</v>
      </c>
      <c r="C57">
        <f t="shared" si="1"/>
        <v>101.955</v>
      </c>
      <c r="D57" s="11">
        <f t="shared" si="23"/>
        <v>-4.3779576750893057E-3</v>
      </c>
      <c r="E57" s="8">
        <f t="shared" si="24"/>
        <v>-4.2940097838157083E-5</v>
      </c>
      <c r="F57" s="13">
        <f t="shared" si="25"/>
        <v>-85.831110317621025</v>
      </c>
      <c r="G57" s="13"/>
    </row>
    <row r="58" spans="1:7" x14ac:dyDescent="0.15">
      <c r="A58" s="14">
        <f t="shared" si="22"/>
        <v>2.5790457267806603E-2</v>
      </c>
      <c r="B58" s="11">
        <f t="shared" si="13"/>
        <v>101.95123921450472</v>
      </c>
      <c r="C58">
        <f t="shared" si="1"/>
        <v>101.955</v>
      </c>
      <c r="D58" s="11">
        <f t="shared" si="23"/>
        <v>-3.7607854952739217E-3</v>
      </c>
      <c r="E58" s="8">
        <f t="shared" si="24"/>
        <v>-3.6886719584855297E-5</v>
      </c>
      <c r="F58" s="13">
        <f t="shared" si="25"/>
        <v>-85.831770777957644</v>
      </c>
      <c r="G58" s="13"/>
    </row>
    <row r="59" spans="1:7" x14ac:dyDescent="0.15">
      <c r="A59" s="8">
        <f t="shared" si="22"/>
        <v>2.5789327238952133E-2</v>
      </c>
      <c r="B59" s="11">
        <f t="shared" si="13"/>
        <v>101.95176935489941</v>
      </c>
      <c r="C59">
        <f t="shared" si="1"/>
        <v>101.955</v>
      </c>
      <c r="D59" s="11">
        <f t="shared" si="23"/>
        <v>-3.2306451005865711E-3</v>
      </c>
      <c r="E59" s="8">
        <f t="shared" si="24"/>
        <v>-3.1686970728130753E-5</v>
      </c>
      <c r="F59" s="13">
        <f t="shared" si="25"/>
        <v>-85.832338102897538</v>
      </c>
      <c r="G59" s="13"/>
    </row>
    <row r="60" spans="1:7" x14ac:dyDescent="0.15">
      <c r="A60" s="8">
        <f t="shared" ref="A60:A67" si="26">A59*(1-D59/F59)</f>
        <v>2.5788356553945371E-2</v>
      </c>
      <c r="B60" s="11">
        <f t="shared" si="13"/>
        <v>101.95222474365384</v>
      </c>
      <c r="C60">
        <f t="shared" si="1"/>
        <v>101.955</v>
      </c>
      <c r="D60" s="11">
        <f t="shared" ref="D60:D67" si="27">B60-C60</f>
        <v>-2.7752563461547197E-3</v>
      </c>
      <c r="E60" s="8">
        <f t="shared" ref="E60:E67" si="28">D60/C60</f>
        <v>-2.7220404552544944E-5</v>
      </c>
      <c r="F60" s="13">
        <f t="shared" ref="F60:F67" si="29">-100/(1+A60)^6</f>
        <v>-85.83282543360427</v>
      </c>
      <c r="G60" s="13"/>
    </row>
    <row r="61" spans="1:7" x14ac:dyDescent="0.15">
      <c r="A61" s="8">
        <f t="shared" si="26"/>
        <v>2.5787522731921898E-2</v>
      </c>
      <c r="B61" s="11">
        <f t="shared" si="13"/>
        <v>101.9526159263082</v>
      </c>
      <c r="C61">
        <f t="shared" si="1"/>
        <v>101.955</v>
      </c>
      <c r="D61" s="11">
        <f t="shared" si="27"/>
        <v>-2.3840736918003813E-3</v>
      </c>
      <c r="E61" s="8">
        <f t="shared" si="28"/>
        <v>-2.3383587776964165E-5</v>
      </c>
      <c r="F61" s="13">
        <f t="shared" si="29"/>
        <v>-85.83324405506751</v>
      </c>
      <c r="G61" s="13"/>
    </row>
    <row r="62" spans="1:7" x14ac:dyDescent="0.15">
      <c r="A62" s="8">
        <f t="shared" si="26"/>
        <v>2.5786806466852358E-2</v>
      </c>
      <c r="B62" s="11">
        <f t="shared" si="13"/>
        <v>101.95295195930886</v>
      </c>
      <c r="C62">
        <f t="shared" si="1"/>
        <v>101.955</v>
      </c>
      <c r="D62" s="11">
        <f t="shared" si="27"/>
        <v>-2.048040691136066E-3</v>
      </c>
      <c r="E62" s="8">
        <f t="shared" si="28"/>
        <v>-2.0087692522544907E-5</v>
      </c>
      <c r="F62" s="13">
        <f t="shared" si="29"/>
        <v>-85.833603658806652</v>
      </c>
      <c r="G62" s="13"/>
    </row>
    <row r="63" spans="1:7" x14ac:dyDescent="0.15">
      <c r="A63" s="8">
        <f t="shared" si="26"/>
        <v>2.5786191178355927E-2</v>
      </c>
      <c r="B63" s="11">
        <f t="shared" si="13"/>
        <v>101.95324062064107</v>
      </c>
      <c r="C63">
        <f t="shared" si="1"/>
        <v>101.955</v>
      </c>
      <c r="D63" s="11">
        <f t="shared" si="27"/>
        <v>-1.7593793589298912E-3</v>
      </c>
      <c r="E63" s="8">
        <f t="shared" si="28"/>
        <v>-1.7256430375458696E-5</v>
      </c>
      <c r="F63" s="13">
        <f t="shared" si="29"/>
        <v>-85.833912568257261</v>
      </c>
      <c r="G63" s="13"/>
    </row>
    <row r="64" spans="1:7" x14ac:dyDescent="0.15">
      <c r="A64" s="8">
        <f t="shared" si="26"/>
        <v>2.5785662626281958E-2</v>
      </c>
      <c r="B64" s="11">
        <f t="shared" si="13"/>
        <v>101.95348859057249</v>
      </c>
      <c r="C64">
        <f t="shared" si="1"/>
        <v>101.955</v>
      </c>
      <c r="D64" s="11">
        <f t="shared" si="27"/>
        <v>-1.511409427507715E-3</v>
      </c>
      <c r="E64" s="8">
        <f t="shared" si="28"/>
        <v>-1.4824279608726547E-5</v>
      </c>
      <c r="F64" s="13">
        <f t="shared" si="29"/>
        <v>-85.834177932178335</v>
      </c>
      <c r="G64" s="13"/>
    </row>
    <row r="65" spans="1:7" x14ac:dyDescent="0.15">
      <c r="A65" s="8">
        <f t="shared" si="26"/>
        <v>2.5785208579950685E-2</v>
      </c>
      <c r="B65" s="11">
        <f t="shared" si="13"/>
        <v>101.95370160677354</v>
      </c>
      <c r="C65">
        <f t="shared" si="1"/>
        <v>101.955</v>
      </c>
      <c r="D65" s="11">
        <f t="shared" si="27"/>
        <v>-1.2983932264631903E-3</v>
      </c>
      <c r="E65" s="8">
        <f t="shared" si="28"/>
        <v>-1.2734963723831007E-5</v>
      </c>
      <c r="F65" s="13">
        <f t="shared" si="29"/>
        <v>-85.834405890642159</v>
      </c>
      <c r="G65" s="13"/>
    </row>
    <row r="66" spans="1:7" x14ac:dyDescent="0.15">
      <c r="A66" s="8">
        <f t="shared" si="26"/>
        <v>2.5784818534259617E-2</v>
      </c>
      <c r="B66" s="11">
        <f t="shared" si="13"/>
        <v>101.95388459746574</v>
      </c>
      <c r="C66">
        <f t="shared" si="1"/>
        <v>101.955</v>
      </c>
      <c r="D66" s="11">
        <f t="shared" si="27"/>
        <v>-1.1154025342534624E-3</v>
      </c>
      <c r="E66" s="8">
        <f t="shared" si="28"/>
        <v>-1.0940145498047789E-5</v>
      </c>
      <c r="F66" s="13">
        <f t="shared" si="29"/>
        <v>-85.834601717513777</v>
      </c>
      <c r="G66" s="13"/>
    </row>
    <row r="67" spans="1:7" x14ac:dyDescent="0.15">
      <c r="A67" s="8">
        <f t="shared" si="26"/>
        <v>2.5784483465984553E-2</v>
      </c>
      <c r="B67" s="11">
        <f t="shared" si="13"/>
        <v>101.95404179572353</v>
      </c>
      <c r="C67">
        <f t="shared" si="1"/>
        <v>101.955</v>
      </c>
      <c r="D67" s="11">
        <f t="shared" si="27"/>
        <v>-9.5820427647197448E-4</v>
      </c>
      <c r="E67" s="8">
        <f t="shared" si="28"/>
        <v>-9.3983058846743611E-6</v>
      </c>
      <c r="F67" s="13">
        <f t="shared" si="29"/>
        <v>-85.834769942765007</v>
      </c>
      <c r="G67" s="13"/>
    </row>
    <row r="68" spans="1:7" x14ac:dyDescent="0.15">
      <c r="A68" s="8">
        <f t="shared" ref="A68:A131" si="30">A67*(1-D67/F67)</f>
        <v>2.5784195624561548E-2</v>
      </c>
      <c r="B68" s="11">
        <f t="shared" si="13"/>
        <v>101.95417683760721</v>
      </c>
      <c r="C68">
        <f t="shared" si="1"/>
        <v>101.955</v>
      </c>
      <c r="D68" s="11">
        <f t="shared" ref="D68:D131" si="31">B68-C68</f>
        <v>-8.2316239279123238E-4</v>
      </c>
      <c r="E68" s="8">
        <f t="shared" ref="E68:E131" si="32">D68/C68</f>
        <v>-8.0737814995952367E-6</v>
      </c>
      <c r="F68" s="13">
        <f t="shared" ref="F68:F131" si="33">-100/(1+A68)^6</f>
        <v>-85.83491445748713</v>
      </c>
      <c r="G68" s="13"/>
    </row>
    <row r="69" spans="1:7" x14ac:dyDescent="0.15">
      <c r="A69" s="8">
        <f t="shared" si="30"/>
        <v>2.5783948352454379E-2</v>
      </c>
      <c r="B69" s="11">
        <f t="shared" si="13"/>
        <v>101.95429284642218</v>
      </c>
      <c r="C69">
        <f t="shared" si="1"/>
        <v>101.955</v>
      </c>
      <c r="D69" s="11">
        <f t="shared" si="31"/>
        <v>-7.0715357782091814E-4</v>
      </c>
      <c r="E69" s="8">
        <f t="shared" si="32"/>
        <v>-6.9359381866599786E-6</v>
      </c>
      <c r="F69" s="13">
        <f t="shared" si="33"/>
        <v>-85.835038604056109</v>
      </c>
      <c r="G69" s="13"/>
    </row>
    <row r="70" spans="1:7" x14ac:dyDescent="0.15">
      <c r="A70" s="8">
        <f t="shared" si="30"/>
        <v>2.5783735930911565E-2</v>
      </c>
      <c r="B70" s="11">
        <f t="shared" si="13"/>
        <v>101.95439250507037</v>
      </c>
      <c r="C70">
        <f t="shared" si="1"/>
        <v>101.955</v>
      </c>
      <c r="D70" s="11">
        <f t="shared" si="31"/>
        <v>-6.0749492962486329E-4</v>
      </c>
      <c r="E70" s="8">
        <f t="shared" si="32"/>
        <v>-5.9584613763411631E-6</v>
      </c>
      <c r="F70" s="13">
        <f t="shared" si="33"/>
        <v>-85.835145253558068</v>
      </c>
      <c r="G70" s="13"/>
    </row>
    <row r="71" spans="1:7" x14ac:dyDescent="0.15">
      <c r="A71" s="8">
        <f t="shared" si="30"/>
        <v>2.5783553447515067E-2</v>
      </c>
      <c r="B71" s="11">
        <f t="shared" si="13"/>
        <v>101.95447811818177</v>
      </c>
      <c r="C71">
        <f t="shared" si="1"/>
        <v>101.955</v>
      </c>
      <c r="D71" s="11">
        <f t="shared" si="31"/>
        <v>-5.2188181822998558E-4</v>
      </c>
      <c r="E71" s="8">
        <f t="shared" si="32"/>
        <v>-5.1187466846156203E-6</v>
      </c>
      <c r="F71" s="13">
        <f t="shared" si="33"/>
        <v>-85.83523687227688</v>
      </c>
      <c r="G71" s="13"/>
    </row>
    <row r="72" spans="1:7" x14ac:dyDescent="0.15">
      <c r="A72" s="8">
        <f t="shared" si="30"/>
        <v>2.578339668243532E-2</v>
      </c>
      <c r="B72" s="11">
        <f t="shared" si="13"/>
        <v>101.9545516654718</v>
      </c>
      <c r="C72">
        <f t="shared" si="1"/>
        <v>101.955</v>
      </c>
      <c r="D72" s="11">
        <f t="shared" si="31"/>
        <v>-4.4833452820114417E-4</v>
      </c>
      <c r="E72" s="8">
        <f t="shared" si="32"/>
        <v>-4.3973765700666386E-6</v>
      </c>
      <c r="F72" s="13">
        <f t="shared" si="33"/>
        <v>-85.835315578792972</v>
      </c>
      <c r="G72" s="13"/>
    </row>
    <row r="73" spans="1:7" x14ac:dyDescent="0.15">
      <c r="A73" s="8">
        <f t="shared" si="30"/>
        <v>2.5783262010745597E-2</v>
      </c>
      <c r="B73" s="11">
        <f t="shared" si="13"/>
        <v>101.95461484756645</v>
      </c>
      <c r="C73">
        <f t="shared" si="1"/>
        <v>101.955</v>
      </c>
      <c r="D73" s="11">
        <f t="shared" si="31"/>
        <v>-3.8515243355163875E-4</v>
      </c>
      <c r="E73" s="8">
        <f t="shared" si="32"/>
        <v>-3.7776708700077362E-6</v>
      </c>
      <c r="F73" s="13">
        <f t="shared" si="33"/>
        <v>-85.835383193022167</v>
      </c>
      <c r="G73" s="13"/>
    </row>
    <row r="74" spans="1:7" x14ac:dyDescent="0.15">
      <c r="A74" s="8">
        <f t="shared" si="30"/>
        <v>2.5783146318524758E-2</v>
      </c>
      <c r="B74" s="11">
        <f t="shared" si="13"/>
        <v>101.9546691253594</v>
      </c>
      <c r="C74">
        <f t="shared" si="1"/>
        <v>101.955</v>
      </c>
      <c r="D74" s="11">
        <f t="shared" si="31"/>
        <v>-3.3087464059633476E-4</v>
      </c>
      <c r="E74" s="8">
        <f t="shared" si="32"/>
        <v>-3.2453007757965257E-6</v>
      </c>
      <c r="F74" s="13">
        <f t="shared" si="33"/>
        <v>-85.835441278333576</v>
      </c>
      <c r="G74" s="13"/>
    </row>
    <row r="75" spans="1:7" x14ac:dyDescent="0.15">
      <c r="A75" s="8">
        <f t="shared" si="30"/>
        <v>2.578304693079931E-2</v>
      </c>
      <c r="B75" s="11">
        <f t="shared" si="13"/>
        <v>101.95471575381612</v>
      </c>
      <c r="C75">
        <f t="shared" si="1"/>
        <v>101.955</v>
      </c>
      <c r="D75" s="11">
        <f t="shared" si="31"/>
        <v>-2.8424618388100953E-4</v>
      </c>
      <c r="E75" s="8">
        <f t="shared" si="32"/>
        <v>-2.7879572741014128E-6</v>
      </c>
      <c r="F75" s="13">
        <f t="shared" si="33"/>
        <v>-85.835491177723284</v>
      </c>
      <c r="G75" s="13"/>
    </row>
    <row r="76" spans="1:7" x14ac:dyDescent="0.15">
      <c r="A76" s="8">
        <f t="shared" si="30"/>
        <v>2.5782961549652206E-2</v>
      </c>
      <c r="B76" s="11">
        <f t="shared" si="13"/>
        <v>101.95475581100843</v>
      </c>
      <c r="C76">
        <f t="shared" si="1"/>
        <v>101.955</v>
      </c>
      <c r="D76" s="11">
        <f t="shared" si="31"/>
        <v>-2.4418899157296892E-4</v>
      </c>
      <c r="E76" s="8">
        <f t="shared" si="32"/>
        <v>-2.3950663682307776E-6</v>
      </c>
      <c r="F76" s="13">
        <f t="shared" si="33"/>
        <v>-85.83553404488616</v>
      </c>
      <c r="G76" s="13"/>
    </row>
    <row r="77" spans="1:7" x14ac:dyDescent="0.15">
      <c r="A77" s="8">
        <f t="shared" si="30"/>
        <v>2.5782888201062362E-2</v>
      </c>
      <c r="B77" s="11">
        <f t="shared" si="13"/>
        <v>101.95479022305378</v>
      </c>
      <c r="C77">
        <f t="shared" si="1"/>
        <v>101.955</v>
      </c>
      <c r="D77" s="11">
        <f t="shared" si="31"/>
        <v>-2.0977694622104082E-4</v>
      </c>
      <c r="E77" s="8">
        <f t="shared" si="32"/>
        <v>-2.0575444678636736E-6</v>
      </c>
      <c r="F77" s="13">
        <f t="shared" si="33"/>
        <v>-85.835570870904135</v>
      </c>
      <c r="G77" s="13"/>
    </row>
    <row r="78" spans="1:7" x14ac:dyDescent="0.15">
      <c r="A78" s="8">
        <f t="shared" si="30"/>
        <v>2.5782825189242242E-2</v>
      </c>
      <c r="B78" s="11">
        <f t="shared" si="13"/>
        <v>101.95481978553704</v>
      </c>
      <c r="C78">
        <f t="shared" si="1"/>
        <v>101.955</v>
      </c>
      <c r="D78" s="11">
        <f t="shared" si="31"/>
        <v>-1.8021446295790611E-4</v>
      </c>
      <c r="E78" s="8">
        <f t="shared" si="32"/>
        <v>-1.7675882787298917E-6</v>
      </c>
      <c r="F78" s="13">
        <f t="shared" si="33"/>
        <v>-85.835602507170108</v>
      </c>
      <c r="G78" s="13"/>
    </row>
    <row r="79" spans="1:7" x14ac:dyDescent="0.15">
      <c r="A79" s="8">
        <f t="shared" si="30"/>
        <v>2.5782771057415131E-2</v>
      </c>
      <c r="B79" s="11">
        <f t="shared" si="13"/>
        <v>101.95484518191137</v>
      </c>
      <c r="C79">
        <f t="shared" si="1"/>
        <v>101.955</v>
      </c>
      <c r="D79" s="11">
        <f t="shared" si="31"/>
        <v>-1.5481808863171409E-4</v>
      </c>
      <c r="E79" s="8">
        <f t="shared" si="32"/>
        <v>-1.5184943223158657E-6</v>
      </c>
      <c r="F79" s="13">
        <f t="shared" si="33"/>
        <v>-85.835629685079923</v>
      </c>
      <c r="G79" s="13"/>
    </row>
    <row r="80" spans="1:7" x14ac:dyDescent="0.15">
      <c r="A80" s="8">
        <f t="shared" si="30"/>
        <v>2.5782724554123324E-2</v>
      </c>
      <c r="B80" s="11">
        <f t="shared" si="13"/>
        <v>101.95486699930437</v>
      </c>
      <c r="C80">
        <f t="shared" si="1"/>
        <v>101.955</v>
      </c>
      <c r="D80" s="11">
        <f t="shared" si="31"/>
        <v>-1.330006956266061E-4</v>
      </c>
      <c r="E80" s="8">
        <f t="shared" si="32"/>
        <v>-1.3045039049247816E-6</v>
      </c>
      <c r="F80" s="13">
        <f t="shared" si="33"/>
        <v>-85.835653032947022</v>
      </c>
      <c r="G80" s="13"/>
    </row>
    <row r="81" spans="1:7" x14ac:dyDescent="0.15">
      <c r="A81" s="8">
        <f t="shared" si="30"/>
        <v>2.5782684604286867E-2</v>
      </c>
      <c r="B81" s="11">
        <f t="shared" si="13"/>
        <v>101.9548857420958</v>
      </c>
      <c r="C81">
        <f t="shared" si="1"/>
        <v>101.955</v>
      </c>
      <c r="D81" s="11">
        <f t="shared" si="31"/>
        <v>-1.1425790420105386E-4</v>
      </c>
      <c r="E81" s="8">
        <f t="shared" si="32"/>
        <v>-1.1206699445937313E-6</v>
      </c>
      <c r="F81" s="13">
        <f t="shared" si="33"/>
        <v>-85.835673090532495</v>
      </c>
      <c r="G81" s="13"/>
    </row>
    <row r="82" spans="1:7" x14ac:dyDescent="0.15">
      <c r="A82" s="8">
        <f t="shared" si="30"/>
        <v>2.5782650284342706E-2</v>
      </c>
      <c r="B82" s="11">
        <f t="shared" si="13"/>
        <v>101.9549018435808</v>
      </c>
      <c r="C82">
        <f t="shared" si="1"/>
        <v>101.955</v>
      </c>
      <c r="D82" s="11">
        <f t="shared" si="31"/>
        <v>-9.8156419198858202E-5</v>
      </c>
      <c r="E82" s="8">
        <f t="shared" si="32"/>
        <v>-9.6274257465409448E-7</v>
      </c>
      <c r="F82" s="13">
        <f t="shared" si="33"/>
        <v>-85.835690321526272</v>
      </c>
      <c r="G82" s="13"/>
    </row>
    <row r="83" spans="1:7" x14ac:dyDescent="0.15">
      <c r="A83" s="8">
        <f t="shared" si="30"/>
        <v>2.5782620800888681E-2</v>
      </c>
      <c r="B83" s="11">
        <f t="shared" si="13"/>
        <v>101.95491567598906</v>
      </c>
      <c r="C83">
        <f t="shared" ref="C83:C146" si="34">$C$16</f>
        <v>101.955</v>
      </c>
      <c r="D83" s="11">
        <f t="shared" si="31"/>
        <v>-8.432401094182751E-5</v>
      </c>
      <c r="E83" s="8">
        <f t="shared" si="32"/>
        <v>-8.2707087383480465E-7</v>
      </c>
      <c r="F83" s="13">
        <f t="shared" si="33"/>
        <v>-85.835705124269666</v>
      </c>
      <c r="G83" s="13"/>
    </row>
    <row r="84" spans="1:7" x14ac:dyDescent="0.15">
      <c r="A84" s="8">
        <f t="shared" si="30"/>
        <v>2.5782595472338105E-2</v>
      </c>
      <c r="B84" s="11">
        <f t="shared" ref="B84:B147" si="35">ABS(PV(A84,5,3,100))</f>
        <v>101.9549275590916</v>
      </c>
      <c r="C84">
        <f t="shared" si="34"/>
        <v>101.955</v>
      </c>
      <c r="D84" s="11">
        <f t="shared" si="31"/>
        <v>-7.2440908397197745E-5</v>
      </c>
      <c r="E84" s="8">
        <f t="shared" si="32"/>
        <v>-7.1051844830756457E-7</v>
      </c>
      <c r="F84" s="13">
        <f t="shared" si="33"/>
        <v>-85.835717840965032</v>
      </c>
      <c r="G84" s="13"/>
    </row>
    <row r="85" spans="1:7" x14ac:dyDescent="0.15">
      <c r="A85" s="8">
        <f t="shared" si="30"/>
        <v>2.5782573713160412E-2</v>
      </c>
      <c r="B85" s="11">
        <f t="shared" si="35"/>
        <v>101.95493776759423</v>
      </c>
      <c r="C85">
        <f t="shared" si="34"/>
        <v>101.955</v>
      </c>
      <c r="D85" s="11">
        <f t="shared" si="31"/>
        <v>-6.2232405767304044E-5</v>
      </c>
      <c r="E85" s="8">
        <f t="shared" si="32"/>
        <v>-6.1039091527932953E-7</v>
      </c>
      <c r="F85" s="13">
        <f t="shared" si="33"/>
        <v>-85.835728765588456</v>
      </c>
      <c r="G85" s="13"/>
    </row>
    <row r="86" spans="1:7" x14ac:dyDescent="0.15">
      <c r="A86" s="8">
        <f t="shared" si="30"/>
        <v>2.5782555020343188E-2</v>
      </c>
      <c r="B86" s="11">
        <f t="shared" si="35"/>
        <v>101.95494653748885</v>
      </c>
      <c r="C86">
        <f t="shared" si="34"/>
        <v>101.955</v>
      </c>
      <c r="D86" s="11">
        <f t="shared" si="31"/>
        <v>-5.3462511147017722E-5</v>
      </c>
      <c r="E86" s="8">
        <f t="shared" si="32"/>
        <v>-5.2437360744463458E-7</v>
      </c>
      <c r="F86" s="13">
        <f t="shared" si="33"/>
        <v>-85.835738150686694</v>
      </c>
      <c r="G86" s="13"/>
    </row>
    <row r="87" spans="1:7" x14ac:dyDescent="0.15">
      <c r="A87" s="8">
        <f t="shared" si="30"/>
        <v>2.5782538961762403E-2</v>
      </c>
      <c r="B87" s="11">
        <f t="shared" si="35"/>
        <v>101.95495407150972</v>
      </c>
      <c r="C87">
        <f t="shared" si="34"/>
        <v>101.955</v>
      </c>
      <c r="D87" s="11">
        <f t="shared" si="31"/>
        <v>-4.5928490280289225E-5</v>
      </c>
      <c r="E87" s="8">
        <f t="shared" si="32"/>
        <v>-4.5047805679259698E-7</v>
      </c>
      <c r="F87" s="13">
        <f t="shared" si="33"/>
        <v>-85.835746213215444</v>
      </c>
      <c r="G87" s="13"/>
    </row>
    <row r="88" spans="1:7" x14ac:dyDescent="0.15">
      <c r="A88" s="8">
        <f t="shared" si="30"/>
        <v>2.5782525166191884E-2</v>
      </c>
      <c r="B88" s="11">
        <f t="shared" si="35"/>
        <v>101.9549605438205</v>
      </c>
      <c r="C88">
        <f t="shared" si="34"/>
        <v>101.955</v>
      </c>
      <c r="D88" s="11">
        <f t="shared" si="31"/>
        <v>-3.9456179493413401E-5</v>
      </c>
      <c r="E88" s="8">
        <f t="shared" si="32"/>
        <v>-3.8699602269053406E-7</v>
      </c>
      <c r="F88" s="13">
        <f t="shared" si="33"/>
        <v>-85.835753139555635</v>
      </c>
      <c r="G88" s="13"/>
    </row>
    <row r="89" spans="1:7" x14ac:dyDescent="0.15">
      <c r="A89" s="8">
        <f t="shared" si="30"/>
        <v>2.5782513314720864E-2</v>
      </c>
      <c r="B89" s="11">
        <f t="shared" si="35"/>
        <v>101.95496610404065</v>
      </c>
      <c r="C89">
        <f t="shared" si="34"/>
        <v>101.955</v>
      </c>
      <c r="D89" s="11">
        <f t="shared" si="31"/>
        <v>-3.3895959347773896E-5</v>
      </c>
      <c r="E89" s="8">
        <f t="shared" si="32"/>
        <v>-3.3246000046857826E-7</v>
      </c>
      <c r="F89" s="13">
        <f t="shared" si="33"/>
        <v>-85.835759089822574</v>
      </c>
      <c r="G89" s="13"/>
    </row>
    <row r="90" spans="1:7" x14ac:dyDescent="0.15">
      <c r="A90" s="8">
        <f t="shared" si="30"/>
        <v>2.5782503133381148E-2</v>
      </c>
      <c r="B90" s="11">
        <f t="shared" si="35"/>
        <v>101.95497088070455</v>
      </c>
      <c r="C90">
        <f t="shared" si="34"/>
        <v>101.955</v>
      </c>
      <c r="D90" s="11">
        <f t="shared" si="31"/>
        <v>-2.9119295447799232E-5</v>
      </c>
      <c r="E90" s="8">
        <f t="shared" si="32"/>
        <v>-2.8560929280368037E-7</v>
      </c>
      <c r="F90" s="13">
        <f t="shared" si="33"/>
        <v>-85.835764201567287</v>
      </c>
      <c r="G90" s="13"/>
    </row>
    <row r="91" spans="1:7" x14ac:dyDescent="0.15">
      <c r="A91" s="8">
        <f t="shared" si="30"/>
        <v>2.5782494386813407E-2</v>
      </c>
      <c r="B91" s="11">
        <f t="shared" si="35"/>
        <v>101.95497498423295</v>
      </c>
      <c r="C91">
        <f t="shared" si="34"/>
        <v>101.955</v>
      </c>
      <c r="D91" s="11">
        <f t="shared" si="31"/>
        <v>-2.5015767050717841E-5</v>
      </c>
      <c r="E91" s="8">
        <f t="shared" si="32"/>
        <v>-2.453608655849918E-7</v>
      </c>
      <c r="F91" s="13">
        <f t="shared" si="33"/>
        <v>-85.835768592956356</v>
      </c>
      <c r="G91" s="13"/>
    </row>
    <row r="92" spans="1:7" x14ac:dyDescent="0.15">
      <c r="A92" s="8">
        <f t="shared" si="30"/>
        <v>2.5782486872826124E-2</v>
      </c>
      <c r="B92" s="11">
        <f t="shared" si="35"/>
        <v>101.95497850948564</v>
      </c>
      <c r="C92">
        <f t="shared" si="34"/>
        <v>101.955</v>
      </c>
      <c r="D92" s="11">
        <f t="shared" si="31"/>
        <v>-2.1490514356514723E-5</v>
      </c>
      <c r="E92" s="8">
        <f t="shared" si="32"/>
        <v>-2.1078431029880559E-7</v>
      </c>
      <c r="F92" s="13">
        <f t="shared" si="33"/>
        <v>-85.835772365504056</v>
      </c>
      <c r="G92" s="13"/>
    </row>
    <row r="93" spans="1:7" x14ac:dyDescent="0.15">
      <c r="A93" s="8">
        <f t="shared" si="30"/>
        <v>2.5782480417721347E-2</v>
      </c>
      <c r="B93" s="11">
        <f t="shared" si="35"/>
        <v>101.95498153795451</v>
      </c>
      <c r="C93">
        <f t="shared" si="34"/>
        <v>101.955</v>
      </c>
      <c r="D93" s="11">
        <f t="shared" si="31"/>
        <v>-1.8462045488831791E-5</v>
      </c>
      <c r="E93" s="8">
        <f t="shared" si="32"/>
        <v>-1.8108033435174136E-7</v>
      </c>
      <c r="F93" s="13">
        <f t="shared" si="33"/>
        <v>-85.835775606418693</v>
      </c>
      <c r="G93" s="13"/>
    </row>
    <row r="94" spans="1:7" x14ac:dyDescent="0.15">
      <c r="A94" s="8">
        <f t="shared" si="30"/>
        <v>2.5782474872279217E-2</v>
      </c>
      <c r="B94" s="11">
        <f t="shared" si="35"/>
        <v>101.95498413964728</v>
      </c>
      <c r="C94">
        <f t="shared" si="34"/>
        <v>101.955</v>
      </c>
      <c r="D94" s="11">
        <f t="shared" si="31"/>
        <v>-1.5860352718277682E-5</v>
      </c>
      <c r="E94" s="8">
        <f t="shared" si="32"/>
        <v>-1.5556228452040293E-7</v>
      </c>
      <c r="F94" s="13">
        <f t="shared" si="33"/>
        <v>-85.835778390619126</v>
      </c>
      <c r="G94" s="13"/>
    </row>
    <row r="95" spans="1:7" x14ac:dyDescent="0.15">
      <c r="A95" s="8">
        <f t="shared" si="30"/>
        <v>2.5782470108308374E-2</v>
      </c>
      <c r="B95" s="11">
        <f t="shared" si="35"/>
        <v>101.95498637470602</v>
      </c>
      <c r="C95">
        <f t="shared" si="34"/>
        <v>101.955</v>
      </c>
      <c r="D95" s="11">
        <f t="shared" si="31"/>
        <v>-1.3625293973973385E-5</v>
      </c>
      <c r="E95" s="8">
        <f t="shared" si="32"/>
        <v>-1.3364027241403937E-7</v>
      </c>
      <c r="F95" s="13">
        <f t="shared" si="33"/>
        <v>-85.83578078246623</v>
      </c>
      <c r="G95" s="13"/>
    </row>
    <row r="96" spans="1:7" x14ac:dyDescent="0.15">
      <c r="A96" s="8">
        <f t="shared" si="30"/>
        <v>2.5782466015682532E-2</v>
      </c>
      <c r="B96" s="11">
        <f t="shared" si="35"/>
        <v>101.95498829479739</v>
      </c>
      <c r="C96">
        <f t="shared" si="34"/>
        <v>101.955</v>
      </c>
      <c r="D96" s="11">
        <f t="shared" si="31"/>
        <v>-1.170520260984631E-5</v>
      </c>
      <c r="E96" s="8">
        <f t="shared" si="32"/>
        <v>-1.1480753871655447E-7</v>
      </c>
      <c r="F96" s="13">
        <f t="shared" si="33"/>
        <v>-85.835782837251315</v>
      </c>
      <c r="G96" s="13"/>
    </row>
    <row r="97" spans="1:7" x14ac:dyDescent="0.15">
      <c r="A97" s="8">
        <f t="shared" si="30"/>
        <v>2.5782462499794653E-2</v>
      </c>
      <c r="B97" s="11">
        <f t="shared" si="35"/>
        <v>101.95498994430712</v>
      </c>
      <c r="C97">
        <f t="shared" si="34"/>
        <v>101.955</v>
      </c>
      <c r="D97" s="11">
        <f t="shared" si="31"/>
        <v>-1.0055692882815492E-5</v>
      </c>
      <c r="E97" s="8">
        <f t="shared" si="32"/>
        <v>-9.8628737019425167E-8</v>
      </c>
      <c r="F97" s="13">
        <f t="shared" si="33"/>
        <v>-85.835784602473467</v>
      </c>
      <c r="G97" s="13"/>
    </row>
    <row r="98" spans="1:7" x14ac:dyDescent="0.15">
      <c r="A98" s="8">
        <f t="shared" si="30"/>
        <v>2.5782459479369944E-2</v>
      </c>
      <c r="B98" s="11">
        <f t="shared" si="35"/>
        <v>101.95499136136597</v>
      </c>
      <c r="C98">
        <f t="shared" si="34"/>
        <v>101.955</v>
      </c>
      <c r="D98" s="11">
        <f t="shared" si="31"/>
        <v>-8.638634028557135E-6</v>
      </c>
      <c r="E98" s="8">
        <f t="shared" si="32"/>
        <v>-8.4729871301624595E-8</v>
      </c>
      <c r="F98" s="13">
        <f t="shared" si="33"/>
        <v>-85.835786118938458</v>
      </c>
      <c r="G98" s="13"/>
    </row>
    <row r="99" spans="1:7" x14ac:dyDescent="0.15">
      <c r="A99" s="8">
        <f t="shared" si="30"/>
        <v>2.5782456884587024E-2</v>
      </c>
      <c r="B99" s="11">
        <f t="shared" si="35"/>
        <v>101.95499257873125</v>
      </c>
      <c r="C99">
        <f t="shared" si="34"/>
        <v>101.955</v>
      </c>
      <c r="D99" s="11">
        <f t="shared" si="31"/>
        <v>-7.4212687479757733E-6</v>
      </c>
      <c r="E99" s="8">
        <f t="shared" si="32"/>
        <v>-7.2789649825665961E-8</v>
      </c>
      <c r="F99" s="13">
        <f t="shared" si="33"/>
        <v>-85.835787421701397</v>
      </c>
      <c r="G99" s="13"/>
    </row>
    <row r="100" spans="1:7" x14ac:dyDescent="0.15">
      <c r="A100" s="8">
        <f t="shared" si="30"/>
        <v>2.5782454655463867E-2</v>
      </c>
      <c r="B100" s="11">
        <f t="shared" si="35"/>
        <v>101.95499362454404</v>
      </c>
      <c r="C100">
        <f t="shared" si="34"/>
        <v>101.955</v>
      </c>
      <c r="D100" s="11">
        <f t="shared" si="31"/>
        <v>-6.3754559533890642E-6</v>
      </c>
      <c r="E100" s="8">
        <f t="shared" si="32"/>
        <v>-6.2532057803825852E-8</v>
      </c>
      <c r="F100" s="13">
        <f t="shared" si="33"/>
        <v>-85.835788540877516</v>
      </c>
      <c r="G100" s="13"/>
    </row>
    <row r="101" spans="1:7" x14ac:dyDescent="0.15">
      <c r="A101" s="8">
        <f t="shared" si="30"/>
        <v>2.578245274047122E-2</v>
      </c>
      <c r="B101" s="11">
        <f t="shared" si="35"/>
        <v>101.95499452297975</v>
      </c>
      <c r="C101">
        <f t="shared" si="34"/>
        <v>101.955</v>
      </c>
      <c r="D101" s="11">
        <f t="shared" si="31"/>
        <v>-5.4770202524423439E-6</v>
      </c>
      <c r="E101" s="8">
        <f t="shared" si="32"/>
        <v>-5.3719976974570585E-8</v>
      </c>
      <c r="F101" s="13">
        <f t="shared" si="33"/>
        <v>-85.835789502338088</v>
      </c>
      <c r="G101" s="13"/>
    </row>
    <row r="102" spans="1:7" x14ac:dyDescent="0.15">
      <c r="A102" s="8">
        <f t="shared" si="30"/>
        <v>2.5782451095341413E-2</v>
      </c>
      <c r="B102" s="11">
        <f t="shared" si="35"/>
        <v>101.95499529480693</v>
      </c>
      <c r="C102">
        <f t="shared" si="34"/>
        <v>101.955</v>
      </c>
      <c r="D102" s="11">
        <f t="shared" si="31"/>
        <v>-4.7051930636143879E-6</v>
      </c>
      <c r="E102" s="8">
        <f t="shared" si="32"/>
        <v>-4.6149703924421438E-8</v>
      </c>
      <c r="F102" s="13">
        <f t="shared" si="33"/>
        <v>-85.835790328308661</v>
      </c>
      <c r="G102" s="13"/>
    </row>
    <row r="103" spans="1:7" x14ac:dyDescent="0.15">
      <c r="A103" s="8">
        <f t="shared" si="30"/>
        <v>2.5782449682045055E-2</v>
      </c>
      <c r="B103" s="11">
        <f t="shared" si="35"/>
        <v>101.9549959578674</v>
      </c>
      <c r="C103">
        <f t="shared" si="34"/>
        <v>101.955</v>
      </c>
      <c r="D103" s="11">
        <f t="shared" si="31"/>
        <v>-4.0421326019668413E-6</v>
      </c>
      <c r="E103" s="8">
        <f t="shared" si="32"/>
        <v>-3.9646241988787614E-8</v>
      </c>
      <c r="F103" s="13">
        <f t="shared" si="33"/>
        <v>-85.835791037882601</v>
      </c>
      <c r="G103" s="13"/>
    </row>
    <row r="104" spans="1:7" x14ac:dyDescent="0.15">
      <c r="A104" s="8">
        <f t="shared" si="30"/>
        <v>2.5782448467911893E-2</v>
      </c>
      <c r="B104" s="11">
        <f t="shared" si="35"/>
        <v>101.9549965274887</v>
      </c>
      <c r="C104">
        <f t="shared" si="34"/>
        <v>101.955</v>
      </c>
      <c r="D104" s="11">
        <f t="shared" si="31"/>
        <v>-3.4725112953992721E-6</v>
      </c>
      <c r="E104" s="8">
        <f t="shared" si="32"/>
        <v>-3.4059254527970892E-8</v>
      </c>
      <c r="F104" s="13">
        <f t="shared" si="33"/>
        <v>-85.835791647462642</v>
      </c>
      <c r="G104" s="13"/>
    </row>
    <row r="105" spans="1:7" x14ac:dyDescent="0.15">
      <c r="A105" s="8">
        <f t="shared" si="30"/>
        <v>2.5782447424875628E-2</v>
      </c>
      <c r="B105" s="11">
        <f t="shared" si="35"/>
        <v>101.95499701683839</v>
      </c>
      <c r="C105">
        <f t="shared" si="34"/>
        <v>101.955</v>
      </c>
      <c r="D105" s="11">
        <f t="shared" si="31"/>
        <v>-2.9831616075171041E-6</v>
      </c>
      <c r="E105" s="8">
        <f t="shared" si="32"/>
        <v>-2.9259591069757286E-8</v>
      </c>
      <c r="F105" s="13">
        <f t="shared" si="33"/>
        <v>-85.835792171140056</v>
      </c>
      <c r="G105" s="13"/>
    </row>
    <row r="106" spans="1:7" x14ac:dyDescent="0.15">
      <c r="A106" s="8">
        <f t="shared" si="30"/>
        <v>2.5782446528825095E-2</v>
      </c>
      <c r="B106" s="11">
        <f t="shared" si="35"/>
        <v>101.95499743722841</v>
      </c>
      <c r="C106">
        <f t="shared" si="34"/>
        <v>101.955</v>
      </c>
      <c r="D106" s="11">
        <f t="shared" si="31"/>
        <v>-2.562771584280199E-6</v>
      </c>
      <c r="E106" s="8">
        <f t="shared" si="32"/>
        <v>-2.5136301155217488E-8</v>
      </c>
      <c r="F106" s="13">
        <f t="shared" si="33"/>
        <v>-85.835792621020317</v>
      </c>
      <c r="G106" s="13"/>
    </row>
    <row r="107" spans="1:7" x14ac:dyDescent="0.15">
      <c r="A107" s="8">
        <f t="shared" si="30"/>
        <v>2.5782445759046903E-2</v>
      </c>
      <c r="B107" s="11">
        <f t="shared" si="35"/>
        <v>101.95499779837668</v>
      </c>
      <c r="C107">
        <f t="shared" si="34"/>
        <v>101.955</v>
      </c>
      <c r="D107" s="11">
        <f t="shared" si="31"/>
        <v>-2.2016233174326771E-6</v>
      </c>
      <c r="E107" s="8">
        <f t="shared" si="32"/>
        <v>-2.1594069122972657E-8</v>
      </c>
      <c r="F107" s="13">
        <f t="shared" si="33"/>
        <v>-85.835793007502858</v>
      </c>
      <c r="G107" s="13"/>
    </row>
    <row r="108" spans="1:7" x14ac:dyDescent="0.15">
      <c r="A108" s="8">
        <f t="shared" si="30"/>
        <v>2.5782445097746624E-2</v>
      </c>
      <c r="B108" s="11">
        <f t="shared" si="35"/>
        <v>101.95499810863156</v>
      </c>
      <c r="C108">
        <f t="shared" si="34"/>
        <v>101.955</v>
      </c>
      <c r="D108" s="11">
        <f t="shared" si="31"/>
        <v>-1.8913684414201271E-6</v>
      </c>
      <c r="E108" s="8">
        <f t="shared" si="32"/>
        <v>-1.8551012127116149E-8</v>
      </c>
      <c r="F108" s="13">
        <f t="shared" si="33"/>
        <v>-85.835793339522013</v>
      </c>
      <c r="G108" s="13"/>
    </row>
    <row r="109" spans="1:7" x14ac:dyDescent="0.15">
      <c r="A109" s="8">
        <f t="shared" si="30"/>
        <v>2.5782444529637436E-2</v>
      </c>
      <c r="B109" s="11">
        <f t="shared" si="35"/>
        <v>101.954998375165</v>
      </c>
      <c r="C109">
        <f t="shared" si="34"/>
        <v>101.955</v>
      </c>
      <c r="D109" s="11">
        <f t="shared" si="31"/>
        <v>-1.6248349936631712E-6</v>
      </c>
      <c r="E109" s="8">
        <f t="shared" si="32"/>
        <v>-1.5936785774735631E-8</v>
      </c>
      <c r="F109" s="13">
        <f t="shared" si="33"/>
        <v>-85.835793624752668</v>
      </c>
      <c r="G109" s="13"/>
    </row>
    <row r="110" spans="1:7" x14ac:dyDescent="0.15">
      <c r="A110" s="8">
        <f t="shared" si="30"/>
        <v>2.578244404158675E-2</v>
      </c>
      <c r="B110" s="11">
        <f t="shared" si="35"/>
        <v>101.95499860413831</v>
      </c>
      <c r="C110">
        <f t="shared" si="34"/>
        <v>101.955</v>
      </c>
      <c r="D110" s="11">
        <f t="shared" si="31"/>
        <v>-1.3958616875697771E-6</v>
      </c>
      <c r="E110" s="8">
        <f t="shared" si="32"/>
        <v>-1.3690958634395343E-8</v>
      </c>
      <c r="F110" s="13">
        <f t="shared" si="33"/>
        <v>-85.835793869788375</v>
      </c>
      <c r="G110" s="13"/>
    </row>
    <row r="111" spans="1:7" x14ac:dyDescent="0.15">
      <c r="A111" s="8">
        <f t="shared" si="30"/>
        <v>2.5782443622312641E-2</v>
      </c>
      <c r="B111" s="11">
        <f t="shared" si="35"/>
        <v>101.95499880084446</v>
      </c>
      <c r="C111">
        <f t="shared" si="34"/>
        <v>101.955</v>
      </c>
      <c r="D111" s="11">
        <f t="shared" si="31"/>
        <v>-1.199155533981866E-6</v>
      </c>
      <c r="E111" s="8">
        <f t="shared" si="32"/>
        <v>-1.1761615751869609E-8</v>
      </c>
      <c r="F111" s="13">
        <f t="shared" si="33"/>
        <v>-85.835794080293439</v>
      </c>
      <c r="G111" s="13"/>
    </row>
    <row r="112" spans="1:7" x14ac:dyDescent="0.15">
      <c r="A112" s="8">
        <f t="shared" si="30"/>
        <v>2.5782443262123048E-2</v>
      </c>
      <c r="B112" s="11">
        <f t="shared" si="35"/>
        <v>101.9549989698306</v>
      </c>
      <c r="C112">
        <f t="shared" si="34"/>
        <v>101.955</v>
      </c>
      <c r="D112" s="11">
        <f t="shared" si="31"/>
        <v>-1.0301694004510864E-6</v>
      </c>
      <c r="E112" s="8">
        <f t="shared" si="32"/>
        <v>-1.0104157721064061E-8</v>
      </c>
      <c r="F112" s="13">
        <f t="shared" si="33"/>
        <v>-85.835794261133913</v>
      </c>
      <c r="G112" s="13"/>
    </row>
    <row r="113" spans="1:7" x14ac:dyDescent="0.15">
      <c r="A113" s="8">
        <f t="shared" si="30"/>
        <v>2.5782442952691716E-2</v>
      </c>
      <c r="B113" s="11">
        <f t="shared" si="35"/>
        <v>101.95499911500303</v>
      </c>
      <c r="C113">
        <f t="shared" si="34"/>
        <v>101.955</v>
      </c>
      <c r="D113" s="11">
        <f t="shared" si="31"/>
        <v>-8.8499696460075938E-7</v>
      </c>
      <c r="E113" s="8">
        <f t="shared" si="32"/>
        <v>-8.6802703604605888E-9</v>
      </c>
      <c r="F113" s="13">
        <f t="shared" si="33"/>
        <v>-85.83579441649016</v>
      </c>
      <c r="G113" s="13"/>
    </row>
    <row r="114" spans="1:7" x14ac:dyDescent="0.15">
      <c r="A114" s="8">
        <f t="shared" si="30"/>
        <v>2.5782442686865744E-2</v>
      </c>
      <c r="B114" s="11">
        <f t="shared" si="35"/>
        <v>101.95499923971765</v>
      </c>
      <c r="C114">
        <f t="shared" si="34"/>
        <v>101.955</v>
      </c>
      <c r="D114" s="11">
        <f t="shared" si="31"/>
        <v>-7.6028234730074473E-7</v>
      </c>
      <c r="E114" s="8">
        <f t="shared" si="32"/>
        <v>-7.4570383728188393E-9</v>
      </c>
      <c r="F114" s="13">
        <f t="shared" si="33"/>
        <v>-85.835794549953405</v>
      </c>
      <c r="G114" s="13"/>
    </row>
    <row r="115" spans="1:7" x14ac:dyDescent="0.15">
      <c r="A115" s="8">
        <f t="shared" si="30"/>
        <v>2.578244245850022E-2</v>
      </c>
      <c r="B115" s="11">
        <f t="shared" si="35"/>
        <v>101.95499934685736</v>
      </c>
      <c r="C115">
        <f t="shared" si="34"/>
        <v>101.955</v>
      </c>
      <c r="D115" s="11">
        <f t="shared" si="31"/>
        <v>-6.5314263508753356E-7</v>
      </c>
      <c r="E115" s="8">
        <f t="shared" si="32"/>
        <v>-6.4061854258009279E-9</v>
      </c>
      <c r="F115" s="13">
        <f t="shared" si="33"/>
        <v>-85.835794664608898</v>
      </c>
      <c r="G115" s="13"/>
    </row>
    <row r="116" spans="1:7" x14ac:dyDescent="0.15">
      <c r="A116" s="8">
        <f t="shared" si="30"/>
        <v>2.5782442262316185E-2</v>
      </c>
      <c r="B116" s="11">
        <f t="shared" si="35"/>
        <v>101.95499943889884</v>
      </c>
      <c r="C116">
        <f t="shared" si="34"/>
        <v>101.955</v>
      </c>
      <c r="D116" s="11">
        <f t="shared" si="31"/>
        <v>-5.6110116020136047E-7</v>
      </c>
      <c r="E116" s="8">
        <f t="shared" si="32"/>
        <v>-5.5034197459797016E-9</v>
      </c>
      <c r="F116" s="13">
        <f t="shared" si="33"/>
        <v>-85.83579476310716</v>
      </c>
      <c r="G116" s="13"/>
    </row>
    <row r="117" spans="1:7" x14ac:dyDescent="0.15">
      <c r="A117" s="8">
        <f t="shared" si="30"/>
        <v>2.5782442093778592E-2</v>
      </c>
      <c r="B117" s="11">
        <f t="shared" si="35"/>
        <v>101.95499951796975</v>
      </c>
      <c r="C117">
        <f t="shared" si="34"/>
        <v>101.955</v>
      </c>
      <c r="D117" s="11">
        <f t="shared" si="31"/>
        <v>-4.8203024505255598E-7</v>
      </c>
      <c r="E117" s="8">
        <f t="shared" si="32"/>
        <v>-4.7278725423231428E-9</v>
      </c>
      <c r="F117" s="13">
        <f t="shared" si="33"/>
        <v>-85.835794847724756</v>
      </c>
      <c r="G117" s="13"/>
    </row>
    <row r="118" spans="1:7" x14ac:dyDescent="0.15">
      <c r="A118" s="8">
        <f t="shared" si="30"/>
        <v>2.5782441948991479E-2</v>
      </c>
      <c r="B118" s="11">
        <f t="shared" si="35"/>
        <v>101.95499958589791</v>
      </c>
      <c r="C118">
        <f t="shared" si="34"/>
        <v>101.955</v>
      </c>
      <c r="D118" s="11">
        <f t="shared" si="31"/>
        <v>-4.1410208950765082E-7</v>
      </c>
      <c r="E118" s="8">
        <f t="shared" si="32"/>
        <v>-4.0616162964803179E-9</v>
      </c>
      <c r="F118" s="13">
        <f t="shared" si="33"/>
        <v>-85.83579492041811</v>
      </c>
      <c r="G118" s="13"/>
    </row>
    <row r="119" spans="1:7" x14ac:dyDescent="0.15">
      <c r="A119" s="8">
        <f t="shared" si="30"/>
        <v>2.5782441824607902E-2</v>
      </c>
      <c r="B119" s="11">
        <f t="shared" si="35"/>
        <v>101.95499964425356</v>
      </c>
      <c r="C119">
        <f t="shared" si="34"/>
        <v>101.955</v>
      </c>
      <c r="D119" s="11">
        <f t="shared" si="31"/>
        <v>-3.557464367531793E-7</v>
      </c>
      <c r="E119" s="8">
        <f t="shared" si="32"/>
        <v>-3.4892495390434927E-9</v>
      </c>
      <c r="F119" s="13">
        <f t="shared" si="33"/>
        <v>-85.835794982867341</v>
      </c>
      <c r="G119" s="13"/>
    </row>
    <row r="120" spans="1:7" x14ac:dyDescent="0.15">
      <c r="A120" s="8">
        <f t="shared" si="30"/>
        <v>2.5782441717752576E-2</v>
      </c>
      <c r="B120" s="11">
        <f t="shared" si="35"/>
        <v>101.95499969438569</v>
      </c>
      <c r="C120">
        <f t="shared" si="34"/>
        <v>101.955</v>
      </c>
      <c r="D120" s="11">
        <f t="shared" si="31"/>
        <v>-3.0561430719444616E-7</v>
      </c>
      <c r="E120" s="8">
        <f t="shared" si="32"/>
        <v>-2.9975411426065045E-9</v>
      </c>
      <c r="F120" s="13">
        <f t="shared" si="33"/>
        <v>-85.835795036516217</v>
      </c>
      <c r="G120" s="13"/>
    </row>
    <row r="121" spans="1:7" x14ac:dyDescent="0.15">
      <c r="A121" s="8">
        <f t="shared" si="30"/>
        <v>2.5782441625955405E-2</v>
      </c>
      <c r="B121" s="11">
        <f t="shared" si="35"/>
        <v>101.95499973745314</v>
      </c>
      <c r="C121">
        <f t="shared" si="34"/>
        <v>101.955</v>
      </c>
      <c r="D121" s="11">
        <f t="shared" si="31"/>
        <v>-2.6254686247284553E-7</v>
      </c>
      <c r="E121" s="8">
        <f t="shared" si="32"/>
        <v>-2.5751249323019522E-9</v>
      </c>
      <c r="F121" s="13">
        <f t="shared" si="33"/>
        <v>-85.835795082604875</v>
      </c>
      <c r="G121" s="13"/>
    </row>
    <row r="122" spans="1:7" x14ac:dyDescent="0.15">
      <c r="A122" s="8">
        <f t="shared" si="30"/>
        <v>2.5782441547094376E-2</v>
      </c>
      <c r="B122" s="11">
        <f t="shared" si="35"/>
        <v>101.95499977445149</v>
      </c>
      <c r="C122">
        <f t="shared" si="34"/>
        <v>101.955</v>
      </c>
      <c r="D122" s="11">
        <f t="shared" si="31"/>
        <v>-2.2554850431788509E-7</v>
      </c>
      <c r="E122" s="8">
        <f t="shared" si="32"/>
        <v>-2.2122358326505332E-9</v>
      </c>
      <c r="F122" s="13">
        <f t="shared" si="33"/>
        <v>-85.835795122198618</v>
      </c>
      <c r="G122" s="13"/>
    </row>
    <row r="123" spans="1:7" x14ac:dyDescent="0.15">
      <c r="A123" s="8">
        <f t="shared" si="30"/>
        <v>2.5782441479346521E-2</v>
      </c>
      <c r="B123" s="11">
        <f t="shared" si="35"/>
        <v>101.954999806236</v>
      </c>
      <c r="C123">
        <f t="shared" si="34"/>
        <v>101.955</v>
      </c>
      <c r="D123" s="11">
        <f t="shared" si="31"/>
        <v>-1.9376399507109454E-7</v>
      </c>
      <c r="E123" s="8">
        <f t="shared" si="32"/>
        <v>-1.9004854599685601E-9</v>
      </c>
      <c r="F123" s="13">
        <f t="shared" si="33"/>
        <v>-85.835795156212754</v>
      </c>
      <c r="G123" s="13"/>
    </row>
    <row r="124" spans="1:7" x14ac:dyDescent="0.15">
      <c r="A124" s="8">
        <f t="shared" si="30"/>
        <v>2.5782441421145757E-2</v>
      </c>
      <c r="B124" s="11">
        <f t="shared" si="35"/>
        <v>101.95499983354139</v>
      </c>
      <c r="C124">
        <f t="shared" si="34"/>
        <v>101.955</v>
      </c>
      <c r="D124" s="11">
        <f t="shared" si="31"/>
        <v>-1.6645860512198851E-7</v>
      </c>
      <c r="E124" s="8">
        <f t="shared" si="32"/>
        <v>-1.6326674034818157E-9</v>
      </c>
      <c r="F124" s="13">
        <f t="shared" si="33"/>
        <v>-85.835795185433639</v>
      </c>
      <c r="G124" s="13"/>
    </row>
    <row r="125" spans="1:7" x14ac:dyDescent="0.15">
      <c r="A125" s="8">
        <f t="shared" si="30"/>
        <v>2.5782441371146693E-2</v>
      </c>
      <c r="B125" s="11">
        <f t="shared" si="35"/>
        <v>101.95499985699891</v>
      </c>
      <c r="C125">
        <f t="shared" si="34"/>
        <v>101.955</v>
      </c>
      <c r="D125" s="11">
        <f t="shared" si="31"/>
        <v>-1.4300108830411773E-7</v>
      </c>
      <c r="E125" s="8">
        <f t="shared" si="32"/>
        <v>-1.4025902437753688E-9</v>
      </c>
      <c r="F125" s="13">
        <f t="shared" si="33"/>
        <v>-85.835795210536702</v>
      </c>
      <c r="G125" s="13"/>
    </row>
    <row r="126" spans="1:7" x14ac:dyDescent="0.15">
      <c r="A126" s="8">
        <f t="shared" si="30"/>
        <v>2.5782441328193548E-2</v>
      </c>
      <c r="B126" s="11">
        <f t="shared" si="35"/>
        <v>101.95499987715075</v>
      </c>
      <c r="C126">
        <f t="shared" si="34"/>
        <v>101.955</v>
      </c>
      <c r="D126" s="11">
        <f t="shared" si="31"/>
        <v>-1.2284924366667838E-7</v>
      </c>
      <c r="E126" s="8">
        <f t="shared" si="32"/>
        <v>-1.204935939058196E-9</v>
      </c>
      <c r="F126" s="13">
        <f t="shared" si="33"/>
        <v>-85.835795232102228</v>
      </c>
      <c r="G126" s="13"/>
    </row>
    <row r="127" spans="1:7" x14ac:dyDescent="0.15">
      <c r="A127" s="8">
        <f t="shared" si="30"/>
        <v>2.5782441291293402E-2</v>
      </c>
      <c r="B127" s="11">
        <f t="shared" si="35"/>
        <v>101.95499989446279</v>
      </c>
      <c r="C127">
        <f t="shared" si="34"/>
        <v>101.955</v>
      </c>
      <c r="D127" s="11">
        <f t="shared" si="31"/>
        <v>-1.055372109703967E-7</v>
      </c>
      <c r="E127" s="8">
        <f t="shared" si="32"/>
        <v>-1.0351352162267344E-9</v>
      </c>
      <c r="F127" s="13">
        <f t="shared" si="33"/>
        <v>-85.835795250628621</v>
      </c>
      <c r="G127" s="13"/>
    </row>
    <row r="128" spans="1:7" x14ac:dyDescent="0.15">
      <c r="A128" s="8">
        <f t="shared" si="30"/>
        <v>2.578244125959326E-2</v>
      </c>
      <c r="B128" s="11">
        <f t="shared" si="35"/>
        <v>101.9549999093352</v>
      </c>
      <c r="C128">
        <f t="shared" si="34"/>
        <v>101.955</v>
      </c>
      <c r="D128" s="11">
        <f t="shared" si="31"/>
        <v>-9.0664798335637897E-8</v>
      </c>
      <c r="E128" s="8">
        <f t="shared" si="32"/>
        <v>-8.892628937829228E-10</v>
      </c>
      <c r="F128" s="13">
        <f t="shared" si="33"/>
        <v>-85.835795266544366</v>
      </c>
      <c r="G128" s="13"/>
    </row>
    <row r="129" spans="1:7" x14ac:dyDescent="0.15">
      <c r="A129" s="8">
        <f t="shared" si="30"/>
        <v>2.5782441232360332E-2</v>
      </c>
      <c r="B129" s="11">
        <f t="shared" si="35"/>
        <v>101.95499992211177</v>
      </c>
      <c r="C129">
        <f t="shared" si="34"/>
        <v>101.955</v>
      </c>
      <c r="D129" s="11">
        <f t="shared" si="31"/>
        <v>-7.7888230975986517E-8</v>
      </c>
      <c r="E129" s="8">
        <f t="shared" si="32"/>
        <v>-7.6394714311202512E-10</v>
      </c>
      <c r="F129" s="13">
        <f t="shared" si="33"/>
        <v>-85.83579528021717</v>
      </c>
      <c r="G129" s="13"/>
    </row>
    <row r="130" spans="1:7" x14ac:dyDescent="0.15">
      <c r="A130" s="8">
        <f t="shared" si="30"/>
        <v>2.5782441208965095E-2</v>
      </c>
      <c r="B130" s="11">
        <f t="shared" si="35"/>
        <v>101.95499993308783</v>
      </c>
      <c r="C130">
        <f t="shared" si="34"/>
        <v>101.955</v>
      </c>
      <c r="D130" s="11">
        <f t="shared" si="31"/>
        <v>-6.6912164697896515E-8</v>
      </c>
      <c r="E130" s="8">
        <f t="shared" si="32"/>
        <v>-6.5629115490065736E-10</v>
      </c>
      <c r="F130" s="13">
        <f t="shared" si="33"/>
        <v>-85.835795291963251</v>
      </c>
      <c r="G130" s="13"/>
    </row>
    <row r="131" spans="1:7" x14ac:dyDescent="0.15">
      <c r="A131" s="8">
        <f t="shared" si="30"/>
        <v>2.5782441188866731E-2</v>
      </c>
      <c r="B131" s="11">
        <f t="shared" si="35"/>
        <v>101.95499994251716</v>
      </c>
      <c r="C131">
        <f t="shared" si="34"/>
        <v>101.955</v>
      </c>
      <c r="D131" s="11">
        <f t="shared" si="31"/>
        <v>-5.7482836268718529E-8</v>
      </c>
      <c r="E131" s="8">
        <f t="shared" si="32"/>
        <v>-5.638059562426417E-10</v>
      </c>
      <c r="F131" s="13">
        <f t="shared" si="33"/>
        <v>-85.835795302054024</v>
      </c>
      <c r="G131" s="13"/>
    </row>
    <row r="132" spans="1:7" x14ac:dyDescent="0.15">
      <c r="A132" s="8">
        <f t="shared" ref="A132:A170" si="36">A131*(1-D131/F131)</f>
        <v>2.578244117160065E-2</v>
      </c>
      <c r="B132" s="11">
        <f t="shared" si="35"/>
        <v>101.95499995061769</v>
      </c>
      <c r="C132">
        <f t="shared" si="34"/>
        <v>101.955</v>
      </c>
      <c r="D132" s="11">
        <f t="shared" ref="D132:D170" si="37">B132-C132</f>
        <v>-4.9382308020540222E-8</v>
      </c>
      <c r="E132" s="8">
        <f t="shared" ref="E132:E170" si="38">D132/C132</f>
        <v>-4.8435396028189121E-10</v>
      </c>
      <c r="F132" s="13">
        <f t="shared" ref="F132:F170" si="39">-100/(1+A132)^6</f>
        <v>-85.835795310722872</v>
      </c>
      <c r="G132" s="13"/>
    </row>
    <row r="133" spans="1:7" x14ac:dyDescent="0.15">
      <c r="A133" s="8">
        <f t="shared" si="36"/>
        <v>2.578244115676772E-2</v>
      </c>
      <c r="B133" s="11">
        <f t="shared" si="35"/>
        <v>101.9549999575767</v>
      </c>
      <c r="C133">
        <f t="shared" si="34"/>
        <v>101.955</v>
      </c>
      <c r="D133" s="11">
        <f t="shared" si="37"/>
        <v>-4.2423295099069946E-8</v>
      </c>
      <c r="E133" s="8">
        <f t="shared" si="38"/>
        <v>-4.1609823058280563E-10</v>
      </c>
      <c r="F133" s="13">
        <f t="shared" si="39"/>
        <v>-85.835795318170014</v>
      </c>
      <c r="G133" s="13"/>
    </row>
    <row r="134" spans="1:7" x14ac:dyDescent="0.15">
      <c r="A134" s="8">
        <f t="shared" si="36"/>
        <v>2.5782441144025062E-2</v>
      </c>
      <c r="B134" s="11">
        <f t="shared" si="35"/>
        <v>101.95499996355504</v>
      </c>
      <c r="C134">
        <f t="shared" si="34"/>
        <v>101.955</v>
      </c>
      <c r="D134" s="11">
        <f t="shared" si="37"/>
        <v>-3.6444959050641046E-8</v>
      </c>
      <c r="E134" s="8">
        <f t="shared" si="38"/>
        <v>-3.5746122358531751E-10</v>
      </c>
      <c r="F134" s="13">
        <f t="shared" si="39"/>
        <v>-85.835795324567712</v>
      </c>
      <c r="G134" s="13"/>
    </row>
    <row r="135" spans="1:7" x14ac:dyDescent="0.15">
      <c r="A135" s="8">
        <f t="shared" si="36"/>
        <v>2.5782441133078114E-2</v>
      </c>
      <c r="B135" s="11">
        <f t="shared" si="35"/>
        <v>101.95499996869087</v>
      </c>
      <c r="C135">
        <f t="shared" si="34"/>
        <v>101.955</v>
      </c>
      <c r="D135" s="11">
        <f t="shared" si="37"/>
        <v>-3.1309127734857611E-8</v>
      </c>
      <c r="E135" s="8">
        <f t="shared" si="38"/>
        <v>-3.0708771256787417E-10</v>
      </c>
      <c r="F135" s="13">
        <f t="shared" si="39"/>
        <v>-85.835795330063888</v>
      </c>
      <c r="G135" s="13"/>
    </row>
    <row r="136" spans="1:7" x14ac:dyDescent="0.15">
      <c r="A136" s="8">
        <f t="shared" si="36"/>
        <v>2.578244112367381E-2</v>
      </c>
      <c r="B136" s="11">
        <f t="shared" si="35"/>
        <v>101.954999973103</v>
      </c>
      <c r="C136">
        <f t="shared" si="34"/>
        <v>101.955</v>
      </c>
      <c r="D136" s="11">
        <f t="shared" si="37"/>
        <v>-2.6896998406300554E-8</v>
      </c>
      <c r="E136" s="8">
        <f t="shared" si="38"/>
        <v>-2.638124506527444E-10</v>
      </c>
      <c r="F136" s="13">
        <f t="shared" si="39"/>
        <v>-85.835795334785487</v>
      </c>
      <c r="G136" s="13"/>
    </row>
    <row r="137" spans="1:7" x14ac:dyDescent="0.15">
      <c r="A137" s="8">
        <f t="shared" si="36"/>
        <v>2.5782441115594776E-2</v>
      </c>
      <c r="B137" s="11">
        <f t="shared" si="35"/>
        <v>101.95499997689335</v>
      </c>
      <c r="C137">
        <f t="shared" si="34"/>
        <v>101.955</v>
      </c>
      <c r="D137" s="11">
        <f t="shared" si="37"/>
        <v>-2.3106650814952445E-8</v>
      </c>
      <c r="E137" s="8">
        <f t="shared" si="38"/>
        <v>-2.2663577867640082E-10</v>
      </c>
      <c r="F137" s="13">
        <f t="shared" si="39"/>
        <v>-85.835795338841749</v>
      </c>
      <c r="G137" s="13"/>
    </row>
    <row r="138" spans="1:7" x14ac:dyDescent="0.15">
      <c r="A138" s="8">
        <f t="shared" si="36"/>
        <v>2.5782441108654245E-2</v>
      </c>
      <c r="B138" s="11">
        <f t="shared" si="35"/>
        <v>101.95499998014955</v>
      </c>
      <c r="C138">
        <f t="shared" si="34"/>
        <v>101.955</v>
      </c>
      <c r="D138" s="11">
        <f t="shared" si="37"/>
        <v>-1.9850446619784634E-8</v>
      </c>
      <c r="E138" s="8">
        <f t="shared" si="38"/>
        <v>-1.9469811799111995E-10</v>
      </c>
      <c r="F138" s="13">
        <f t="shared" si="39"/>
        <v>-85.835795342326335</v>
      </c>
      <c r="G138" s="13"/>
    </row>
    <row r="139" spans="1:7" x14ac:dyDescent="0.15">
      <c r="A139" s="8">
        <f t="shared" si="36"/>
        <v>2.5782441102691782E-2</v>
      </c>
      <c r="B139" s="11">
        <f t="shared" si="35"/>
        <v>101.95499998294689</v>
      </c>
      <c r="C139">
        <f t="shared" si="34"/>
        <v>101.955</v>
      </c>
      <c r="D139" s="11">
        <f t="shared" si="37"/>
        <v>-1.7053110923370696E-8</v>
      </c>
      <c r="E139" s="8">
        <f t="shared" si="38"/>
        <v>-1.6726115367927709E-10</v>
      </c>
      <c r="F139" s="13">
        <f t="shared" si="39"/>
        <v>-85.835795345319937</v>
      </c>
      <c r="G139" s="13"/>
    </row>
    <row r="140" spans="1:7" x14ac:dyDescent="0.15">
      <c r="A140" s="8">
        <f t="shared" si="36"/>
        <v>2.5782441097569549E-2</v>
      </c>
      <c r="B140" s="11">
        <f t="shared" si="35"/>
        <v>101.95499998535004</v>
      </c>
      <c r="C140">
        <f t="shared" si="34"/>
        <v>101.955</v>
      </c>
      <c r="D140" s="11">
        <f t="shared" si="37"/>
        <v>-1.464995591504703E-8</v>
      </c>
      <c r="E140" s="8">
        <f t="shared" si="38"/>
        <v>-1.4369041160361955E-10</v>
      </c>
      <c r="F140" s="13">
        <f t="shared" si="39"/>
        <v>-85.835795347891633</v>
      </c>
      <c r="G140" s="13"/>
    </row>
    <row r="141" spans="1:7" x14ac:dyDescent="0.15">
      <c r="A141" s="8">
        <f t="shared" si="36"/>
        <v>2.5782441093169149E-2</v>
      </c>
      <c r="B141" s="11">
        <f t="shared" si="35"/>
        <v>101.95499998741452</v>
      </c>
      <c r="C141">
        <f t="shared" si="34"/>
        <v>101.955</v>
      </c>
      <c r="D141" s="11">
        <f t="shared" si="37"/>
        <v>-1.2585473996296059E-8</v>
      </c>
      <c r="E141" s="8">
        <f t="shared" si="38"/>
        <v>-1.2344145943108291E-10</v>
      </c>
      <c r="F141" s="13">
        <f t="shared" si="39"/>
        <v>-85.83579535010098</v>
      </c>
      <c r="G141" s="13"/>
    </row>
    <row r="142" spans="1:7" x14ac:dyDescent="0.15">
      <c r="A142" s="8">
        <f t="shared" si="36"/>
        <v>2.5782441089388857E-2</v>
      </c>
      <c r="B142" s="11">
        <f t="shared" si="35"/>
        <v>101.95499998918808</v>
      </c>
      <c r="C142">
        <f t="shared" si="34"/>
        <v>101.955</v>
      </c>
      <c r="D142" s="11">
        <f t="shared" si="37"/>
        <v>-1.0811916695274704E-8</v>
      </c>
      <c r="E142" s="8">
        <f t="shared" si="38"/>
        <v>-1.060459682730097E-10</v>
      </c>
      <c r="F142" s="13">
        <f t="shared" si="39"/>
        <v>-85.835795351998968</v>
      </c>
      <c r="G142" s="13"/>
    </row>
    <row r="143" spans="1:7" x14ac:dyDescent="0.15">
      <c r="A143" s="8">
        <f t="shared" si="36"/>
        <v>2.5782441086141288E-2</v>
      </c>
      <c r="B143" s="11">
        <f t="shared" si="35"/>
        <v>101.95499999071173</v>
      </c>
      <c r="C143">
        <f t="shared" si="34"/>
        <v>101.955</v>
      </c>
      <c r="D143" s="11">
        <f t="shared" si="37"/>
        <v>-9.2882714852748904E-9</v>
      </c>
      <c r="E143" s="8">
        <f t="shared" si="38"/>
        <v>-9.1101677066106523E-11</v>
      </c>
      <c r="F143" s="13">
        <f t="shared" si="39"/>
        <v>-85.835795353629379</v>
      </c>
      <c r="G143" s="13"/>
    </row>
    <row r="144" spans="1:7" x14ac:dyDescent="0.15">
      <c r="A144" s="8">
        <f t="shared" si="36"/>
        <v>2.5782441083351378E-2</v>
      </c>
      <c r="B144" s="11">
        <f t="shared" si="35"/>
        <v>101.95499999202062</v>
      </c>
      <c r="C144">
        <f t="shared" si="34"/>
        <v>101.955</v>
      </c>
      <c r="D144" s="11">
        <f t="shared" si="37"/>
        <v>-7.9793807117312099E-9</v>
      </c>
      <c r="E144" s="8">
        <f t="shared" si="38"/>
        <v>-7.8263750789379728E-11</v>
      </c>
      <c r="F144" s="13">
        <f t="shared" si="39"/>
        <v>-85.835795355030172</v>
      </c>
      <c r="G144" s="13"/>
    </row>
    <row r="145" spans="1:7" x14ac:dyDescent="0.15">
      <c r="A145" s="8">
        <f t="shared" si="36"/>
        <v>2.5782441080954618E-2</v>
      </c>
      <c r="B145" s="11">
        <f t="shared" si="35"/>
        <v>101.95499999314509</v>
      </c>
      <c r="C145">
        <f t="shared" si="34"/>
        <v>101.955</v>
      </c>
      <c r="D145" s="11">
        <f t="shared" si="37"/>
        <v>-6.8549041998267057E-9</v>
      </c>
      <c r="E145" s="8">
        <f t="shared" si="38"/>
        <v>-6.7234605461494829E-11</v>
      </c>
      <c r="F145" s="13">
        <f t="shared" si="39"/>
        <v>-85.835795356233461</v>
      </c>
      <c r="G145" s="13"/>
    </row>
    <row r="146" spans="1:7" x14ac:dyDescent="0.15">
      <c r="A146" s="8">
        <f t="shared" si="36"/>
        <v>2.5782441078895615E-2</v>
      </c>
      <c r="B146" s="11">
        <f t="shared" si="35"/>
        <v>101.95499999411108</v>
      </c>
      <c r="C146">
        <f t="shared" si="34"/>
        <v>101.955</v>
      </c>
      <c r="D146" s="11">
        <f t="shared" si="37"/>
        <v>-5.8889213505608495E-9</v>
      </c>
      <c r="E146" s="8">
        <f t="shared" si="38"/>
        <v>-5.7760005400037759E-11</v>
      </c>
      <c r="F146" s="13">
        <f t="shared" si="39"/>
        <v>-85.835795357267287</v>
      </c>
      <c r="G146" s="13"/>
    </row>
    <row r="147" spans="1:7" x14ac:dyDescent="0.15">
      <c r="A147" s="8">
        <f t="shared" si="36"/>
        <v>2.5782441077126766E-2</v>
      </c>
      <c r="B147" s="11">
        <f t="shared" si="35"/>
        <v>101.95499999494096</v>
      </c>
      <c r="C147">
        <f t="shared" ref="C147:C170" si="40">$C$16</f>
        <v>101.955</v>
      </c>
      <c r="D147" s="11">
        <f t="shared" si="37"/>
        <v>-5.0590358569024829E-9</v>
      </c>
      <c r="E147" s="8">
        <f t="shared" si="38"/>
        <v>-4.9620282054852466E-11</v>
      </c>
      <c r="F147" s="13">
        <f t="shared" si="39"/>
        <v>-85.835795358155309</v>
      </c>
      <c r="G147" s="13"/>
    </row>
    <row r="148" spans="1:7" x14ac:dyDescent="0.15">
      <c r="A148" s="8">
        <f t="shared" si="36"/>
        <v>2.5782441075607187E-2</v>
      </c>
      <c r="B148" s="11">
        <f t="shared" ref="B148:B170" si="41">ABS(PV(A148,5,3,100))</f>
        <v>101.95499999565388</v>
      </c>
      <c r="C148">
        <f t="shared" si="40"/>
        <v>101.955</v>
      </c>
      <c r="D148" s="11">
        <f t="shared" si="37"/>
        <v>-4.346119908404944E-9</v>
      </c>
      <c r="E148" s="8">
        <f t="shared" si="38"/>
        <v>-4.2627825103280308E-11</v>
      </c>
      <c r="F148" s="13">
        <f t="shared" si="39"/>
        <v>-85.83579535891829</v>
      </c>
      <c r="G148" s="13"/>
    </row>
    <row r="149" spans="1:7" x14ac:dyDescent="0.15">
      <c r="A149" s="8">
        <f t="shared" si="36"/>
        <v>2.5782441074301745E-2</v>
      </c>
      <c r="B149" s="11">
        <f t="shared" si="41"/>
        <v>101.95499999626635</v>
      </c>
      <c r="C149">
        <f t="shared" si="40"/>
        <v>101.955</v>
      </c>
      <c r="D149" s="11">
        <f t="shared" si="37"/>
        <v>-3.7336462810344528E-9</v>
      </c>
      <c r="E149" s="8">
        <f t="shared" si="38"/>
        <v>-3.6620531421062754E-11</v>
      </c>
      <c r="F149" s="13">
        <f t="shared" si="39"/>
        <v>-85.83579535957368</v>
      </c>
      <c r="G149" s="13"/>
    </row>
    <row r="150" spans="1:7" x14ac:dyDescent="0.15">
      <c r="A150" s="8">
        <f t="shared" si="36"/>
        <v>2.5782441073180271E-2</v>
      </c>
      <c r="B150" s="11">
        <f t="shared" si="41"/>
        <v>101.95499999679248</v>
      </c>
      <c r="C150">
        <f t="shared" si="40"/>
        <v>101.955</v>
      </c>
      <c r="D150" s="11">
        <f t="shared" si="37"/>
        <v>-3.2075178069135291E-9</v>
      </c>
      <c r="E150" s="8">
        <f t="shared" si="38"/>
        <v>-3.1460132479167562E-11</v>
      </c>
      <c r="F150" s="13">
        <f t="shared" si="39"/>
        <v>-85.835795360136814</v>
      </c>
      <c r="G150" s="13"/>
    </row>
    <row r="151" spans="1:7" x14ac:dyDescent="0.15">
      <c r="A151" s="8">
        <f t="shared" si="36"/>
        <v>2.5782441072216829E-2</v>
      </c>
      <c r="B151" s="11">
        <f t="shared" si="41"/>
        <v>101.9549999972445</v>
      </c>
      <c r="C151">
        <f t="shared" si="40"/>
        <v>101.955</v>
      </c>
      <c r="D151" s="11">
        <f t="shared" si="37"/>
        <v>-2.7554989401323837E-9</v>
      </c>
      <c r="E151" s="8">
        <f t="shared" si="38"/>
        <v>-2.7026618999876258E-11</v>
      </c>
      <c r="F151" s="13">
        <f t="shared" si="39"/>
        <v>-85.835795360620565</v>
      </c>
      <c r="G151" s="13"/>
    </row>
    <row r="152" spans="1:7" x14ac:dyDescent="0.15">
      <c r="A152" s="8">
        <f t="shared" si="36"/>
        <v>2.5782441071389162E-2</v>
      </c>
      <c r="B152" s="11">
        <f t="shared" si="41"/>
        <v>101.95499999763281</v>
      </c>
      <c r="C152">
        <f t="shared" si="40"/>
        <v>101.955</v>
      </c>
      <c r="D152" s="11">
        <f t="shared" si="37"/>
        <v>-2.367187335039489E-9</v>
      </c>
      <c r="E152" s="8">
        <f t="shared" si="38"/>
        <v>-2.3217962189588437E-11</v>
      </c>
      <c r="F152" s="13">
        <f t="shared" si="39"/>
        <v>-85.83579536103602</v>
      </c>
      <c r="G152" s="13"/>
    </row>
    <row r="153" spans="1:7" x14ac:dyDescent="0.15">
      <c r="A153" s="8">
        <f t="shared" si="36"/>
        <v>2.5782441070678133E-2</v>
      </c>
      <c r="B153" s="11">
        <f t="shared" si="41"/>
        <v>101.9549999979664</v>
      </c>
      <c r="C153">
        <f t="shared" si="40"/>
        <v>101.955</v>
      </c>
      <c r="D153" s="11">
        <f t="shared" si="37"/>
        <v>-2.0336017314548371E-9</v>
      </c>
      <c r="E153" s="8">
        <f t="shared" si="38"/>
        <v>-1.9946071614485186E-11</v>
      </c>
      <c r="F153" s="13">
        <f t="shared" si="39"/>
        <v>-85.835795361393011</v>
      </c>
      <c r="G153" s="13"/>
    </row>
    <row r="154" spans="1:7" x14ac:dyDescent="0.15">
      <c r="A154" s="8">
        <f t="shared" si="36"/>
        <v>2.5782441070067302E-2</v>
      </c>
      <c r="B154" s="11">
        <f t="shared" si="41"/>
        <v>101.95499999825297</v>
      </c>
      <c r="C154">
        <f t="shared" si="40"/>
        <v>101.955</v>
      </c>
      <c r="D154" s="11">
        <f t="shared" si="37"/>
        <v>-1.7470256352680735E-9</v>
      </c>
      <c r="E154" s="8">
        <f t="shared" si="38"/>
        <v>-1.7135261980953104E-11</v>
      </c>
      <c r="F154" s="13">
        <f t="shared" si="39"/>
        <v>-85.835795361699681</v>
      </c>
      <c r="G154" s="13"/>
    </row>
    <row r="155" spans="1:7" x14ac:dyDescent="0.15">
      <c r="A155" s="8">
        <f t="shared" si="36"/>
        <v>2.5782441069542548E-2</v>
      </c>
      <c r="B155" s="11">
        <f t="shared" si="41"/>
        <v>101.95499999849916</v>
      </c>
      <c r="C155">
        <f t="shared" si="40"/>
        <v>101.955</v>
      </c>
      <c r="D155" s="11">
        <f t="shared" si="37"/>
        <v>-1.500836788181914E-9</v>
      </c>
      <c r="E155" s="8">
        <f t="shared" si="38"/>
        <v>-1.4720580532410514E-11</v>
      </c>
      <c r="F155" s="13">
        <f t="shared" si="39"/>
        <v>-85.835795361963136</v>
      </c>
      <c r="G155" s="13"/>
    </row>
    <row r="156" spans="1:7" x14ac:dyDescent="0.15">
      <c r="A156" s="8">
        <f t="shared" si="36"/>
        <v>2.5782441069091742E-2</v>
      </c>
      <c r="B156" s="11">
        <f t="shared" si="41"/>
        <v>101.95499999871066</v>
      </c>
      <c r="C156">
        <f t="shared" si="40"/>
        <v>101.955</v>
      </c>
      <c r="D156" s="11">
        <f t="shared" si="37"/>
        <v>-1.2893366374555626E-9</v>
      </c>
      <c r="E156" s="8">
        <f t="shared" si="38"/>
        <v>-1.2646134446133712E-11</v>
      </c>
      <c r="F156" s="13">
        <f t="shared" si="39"/>
        <v>-85.835795362189515</v>
      </c>
      <c r="G156" s="13"/>
    </row>
    <row r="157" spans="1:7" x14ac:dyDescent="0.15">
      <c r="A157" s="8">
        <f t="shared" si="36"/>
        <v>2.5782441068704465E-2</v>
      </c>
      <c r="B157" s="11">
        <f t="shared" si="41"/>
        <v>101.95499999889235</v>
      </c>
      <c r="C157">
        <f t="shared" si="40"/>
        <v>101.955</v>
      </c>
      <c r="D157" s="11">
        <f t="shared" si="37"/>
        <v>-1.107650859921705E-9</v>
      </c>
      <c r="E157" s="8">
        <f t="shared" si="38"/>
        <v>-1.0864115148072237E-11</v>
      </c>
      <c r="F157" s="13">
        <f t="shared" si="39"/>
        <v>-85.835795362383948</v>
      </c>
      <c r="G157" s="13"/>
    </row>
    <row r="158" spans="1:7" x14ac:dyDescent="0.15">
      <c r="A158" s="8">
        <f t="shared" si="36"/>
        <v>2.5782441068371759E-2</v>
      </c>
      <c r="B158" s="11">
        <f t="shared" si="41"/>
        <v>101.95499999904845</v>
      </c>
      <c r="C158">
        <f t="shared" si="40"/>
        <v>101.955</v>
      </c>
      <c r="D158" s="11">
        <f t="shared" si="37"/>
        <v>-9.5154462087521097E-10</v>
      </c>
      <c r="E158" s="8">
        <f t="shared" si="38"/>
        <v>-9.3329863260772986E-12</v>
      </c>
      <c r="F158" s="13">
        <f t="shared" si="39"/>
        <v>-85.835795362550982</v>
      </c>
      <c r="G158" s="13"/>
    </row>
    <row r="159" spans="1:7" x14ac:dyDescent="0.15">
      <c r="A159" s="8">
        <f t="shared" si="36"/>
        <v>2.5782441068085943E-2</v>
      </c>
      <c r="B159" s="11">
        <f t="shared" si="41"/>
        <v>101.95499999918255</v>
      </c>
      <c r="C159">
        <f t="shared" si="40"/>
        <v>101.955</v>
      </c>
      <c r="D159" s="11">
        <f t="shared" si="37"/>
        <v>-8.1745099578256486E-10</v>
      </c>
      <c r="E159" s="8">
        <f t="shared" si="38"/>
        <v>-8.0177626970973953E-12</v>
      </c>
      <c r="F159" s="13">
        <f t="shared" si="39"/>
        <v>-85.835795362694427</v>
      </c>
      <c r="G159" s="13"/>
    </row>
    <row r="160" spans="1:7" x14ac:dyDescent="0.15">
      <c r="A160" s="8">
        <f t="shared" si="36"/>
        <v>2.5782441067840407E-2</v>
      </c>
      <c r="B160" s="11">
        <f t="shared" si="41"/>
        <v>101.95499999929774</v>
      </c>
      <c r="C160">
        <f t="shared" si="40"/>
        <v>101.955</v>
      </c>
      <c r="D160" s="11">
        <f t="shared" si="37"/>
        <v>-7.0225780746113742E-10</v>
      </c>
      <c r="E160" s="8">
        <f t="shared" si="38"/>
        <v>-6.8879192532110973E-12</v>
      </c>
      <c r="F160" s="13">
        <f t="shared" si="39"/>
        <v>-85.835795362817734</v>
      </c>
      <c r="G160" s="13"/>
    </row>
    <row r="161" spans="1:7" x14ac:dyDescent="0.15">
      <c r="A161" s="8">
        <f t="shared" si="36"/>
        <v>2.5782441067629468E-2</v>
      </c>
      <c r="B161" s="11">
        <f t="shared" si="41"/>
        <v>101.95499999939669</v>
      </c>
      <c r="C161">
        <f t="shared" si="40"/>
        <v>101.955</v>
      </c>
      <c r="D161" s="11">
        <f t="shared" si="37"/>
        <v>-6.0330762607918587E-10</v>
      </c>
      <c r="E161" s="8">
        <f t="shared" si="38"/>
        <v>-5.9173912616270498E-12</v>
      </c>
      <c r="F161" s="13">
        <f t="shared" si="39"/>
        <v>-85.835795362923648</v>
      </c>
      <c r="G161" s="13"/>
    </row>
    <row r="162" spans="1:7" x14ac:dyDescent="0.15">
      <c r="A162" s="8">
        <f t="shared" si="36"/>
        <v>2.5782441067448252E-2</v>
      </c>
      <c r="B162" s="11">
        <f t="shared" si="41"/>
        <v>101.95499999948173</v>
      </c>
      <c r="C162">
        <f t="shared" si="40"/>
        <v>101.955</v>
      </c>
      <c r="D162" s="11">
        <f t="shared" si="37"/>
        <v>-5.1826987146341708E-10</v>
      </c>
      <c r="E162" s="8">
        <f t="shared" si="38"/>
        <v>-5.0833198123036352E-12</v>
      </c>
      <c r="F162" s="13">
        <f t="shared" si="39"/>
        <v>-85.835795363014597</v>
      </c>
      <c r="G162" s="13"/>
    </row>
    <row r="163" spans="1:7" x14ac:dyDescent="0.15">
      <c r="A163" s="8">
        <f t="shared" si="36"/>
        <v>2.5782441067292577E-2</v>
      </c>
      <c r="B163" s="11">
        <f t="shared" si="41"/>
        <v>101.95499999955476</v>
      </c>
      <c r="C163">
        <f t="shared" si="40"/>
        <v>101.955</v>
      </c>
      <c r="D163" s="11">
        <f t="shared" si="37"/>
        <v>-4.4524028908199398E-10</v>
      </c>
      <c r="E163" s="8">
        <f t="shared" si="38"/>
        <v>-4.3670275031336768E-12</v>
      </c>
      <c r="F163" s="13">
        <f t="shared" si="39"/>
        <v>-85.835795363092757</v>
      </c>
      <c r="G163" s="13"/>
    </row>
    <row r="164" spans="1:7" x14ac:dyDescent="0.15">
      <c r="A164" s="8">
        <f t="shared" si="36"/>
        <v>2.5782441067158841E-2</v>
      </c>
      <c r="B164" s="11">
        <f t="shared" si="41"/>
        <v>101.9549999996175</v>
      </c>
      <c r="C164">
        <f t="shared" si="40"/>
        <v>101.955</v>
      </c>
      <c r="D164" s="11">
        <f t="shared" si="37"/>
        <v>-3.8249936551437713E-10</v>
      </c>
      <c r="E164" s="8">
        <f t="shared" si="38"/>
        <v>-3.7516489187815917E-12</v>
      </c>
      <c r="F164" s="13">
        <f t="shared" si="39"/>
        <v>-85.83579536315996</v>
      </c>
      <c r="G164" s="13"/>
    </row>
    <row r="165" spans="1:7" x14ac:dyDescent="0.15">
      <c r="A165" s="8">
        <f t="shared" si="36"/>
        <v>2.578244106704395E-2</v>
      </c>
      <c r="B165" s="11">
        <f t="shared" si="41"/>
        <v>101.9549999996714</v>
      </c>
      <c r="C165">
        <f t="shared" si="40"/>
        <v>101.955</v>
      </c>
      <c r="D165" s="11">
        <f t="shared" si="37"/>
        <v>-3.2859759357961593E-10</v>
      </c>
      <c r="E165" s="8">
        <f t="shared" si="38"/>
        <v>-3.2229669322702756E-12</v>
      </c>
      <c r="F165" s="13">
        <f t="shared" si="39"/>
        <v>-85.835795363217628</v>
      </c>
      <c r="G165" s="13"/>
    </row>
    <row r="166" spans="1:7" x14ac:dyDescent="0.15">
      <c r="A166" s="8">
        <f t="shared" si="36"/>
        <v>2.5782441066945251E-2</v>
      </c>
      <c r="B166" s="11">
        <f t="shared" si="41"/>
        <v>101.9549999997177</v>
      </c>
      <c r="C166">
        <f t="shared" si="40"/>
        <v>101.955</v>
      </c>
      <c r="D166" s="11">
        <f t="shared" si="37"/>
        <v>-2.822986289174878E-10</v>
      </c>
      <c r="E166" s="8">
        <f t="shared" si="38"/>
        <v>-2.7688551705898466E-12</v>
      </c>
      <c r="F166" s="13">
        <f t="shared" si="39"/>
        <v>-85.835795363267252</v>
      </c>
      <c r="G166" s="13"/>
    </row>
    <row r="167" spans="1:7" x14ac:dyDescent="0.15">
      <c r="A167" s="8">
        <f t="shared" si="36"/>
        <v>2.5782441066860458E-2</v>
      </c>
      <c r="B167" s="11">
        <f t="shared" si="41"/>
        <v>101.95499999975749</v>
      </c>
      <c r="C167">
        <f t="shared" si="40"/>
        <v>101.955</v>
      </c>
      <c r="D167" s="11">
        <f t="shared" si="37"/>
        <v>-2.4250823571492219E-10</v>
      </c>
      <c r="E167" s="8">
        <f t="shared" si="38"/>
        <v>-2.3785810967085696E-12</v>
      </c>
      <c r="F167" s="13">
        <f t="shared" si="39"/>
        <v>-85.835795363309671</v>
      </c>
      <c r="G167" s="13"/>
    </row>
    <row r="168" spans="1:7" x14ac:dyDescent="0.15">
      <c r="A168" s="8">
        <f t="shared" si="36"/>
        <v>2.5782441066787613E-2</v>
      </c>
      <c r="B168" s="11">
        <f t="shared" si="41"/>
        <v>101.95499999979167</v>
      </c>
      <c r="C168">
        <f t="shared" si="40"/>
        <v>101.955</v>
      </c>
      <c r="D168" s="11">
        <f t="shared" si="37"/>
        <v>-2.0833113012486137E-10</v>
      </c>
      <c r="E168" s="8">
        <f t="shared" si="38"/>
        <v>-2.0433635439641155E-12</v>
      </c>
      <c r="F168" s="13">
        <f t="shared" si="39"/>
        <v>-85.835795363346364</v>
      </c>
      <c r="G168" s="13"/>
    </row>
    <row r="169" spans="1:7" x14ac:dyDescent="0.15">
      <c r="A169" s="8">
        <f t="shared" si="36"/>
        <v>2.5782441066725038E-2</v>
      </c>
      <c r="B169" s="11">
        <f t="shared" si="41"/>
        <v>101.95499999982103</v>
      </c>
      <c r="C169">
        <f t="shared" si="40"/>
        <v>101.955</v>
      </c>
      <c r="D169" s="11">
        <f t="shared" si="37"/>
        <v>-1.7897150428325403E-10</v>
      </c>
      <c r="E169" s="8">
        <f t="shared" si="38"/>
        <v>-1.7553970308788587E-12</v>
      </c>
      <c r="F169" s="13">
        <f t="shared" si="39"/>
        <v>-85.835795363377713</v>
      </c>
      <c r="G169" s="13"/>
    </row>
    <row r="170" spans="1:7" x14ac:dyDescent="0.15">
      <c r="A170" s="8">
        <f t="shared" si="36"/>
        <v>2.5782441066671283E-2</v>
      </c>
      <c r="B170" s="11">
        <f t="shared" si="41"/>
        <v>101.95499999984625</v>
      </c>
      <c r="C170">
        <f t="shared" si="40"/>
        <v>101.955</v>
      </c>
      <c r="D170" s="11">
        <f t="shared" si="37"/>
        <v>-1.5374723716377048E-10</v>
      </c>
      <c r="E170" s="8">
        <f t="shared" si="38"/>
        <v>-1.507991144757692E-12</v>
      </c>
      <c r="F170" s="13">
        <f t="shared" si="39"/>
        <v>-85.835795363404671</v>
      </c>
      <c r="G170" s="1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Sheet1</vt:lpstr>
      <vt:lpstr>BSM-1</vt:lpstr>
      <vt:lpstr>BSM-2</vt:lpstr>
      <vt:lpstr>BSM-3</vt:lpstr>
      <vt:lpstr>BSM-Greeks</vt:lpstr>
      <vt:lpstr>BSM-BinaryTree</vt:lpstr>
      <vt:lpstr>BSM-BinaryTree2</vt:lpstr>
      <vt:lpstr>TreasuryFutures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洪明华</dc:creator>
  <cp:lastModifiedBy>洪明华</cp:lastModifiedBy>
  <dcterms:created xsi:type="dcterms:W3CDTF">2016-03-28T07:23:03Z</dcterms:created>
  <dcterms:modified xsi:type="dcterms:W3CDTF">2016-08-12T02:14:09Z</dcterms:modified>
</cp:coreProperties>
</file>