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35" windowWidth="19395" windowHeight="7605" activeTab="6"/>
  </bookViews>
  <sheets>
    <sheet name="Sheet1" sheetId="1" r:id="rId1"/>
    <sheet name="BSM-1" sheetId="2" r:id="rId2"/>
    <sheet name="BSM-2" sheetId="3" r:id="rId3"/>
    <sheet name="BSM-3" sheetId="4" r:id="rId4"/>
    <sheet name="BSM-Greeks" sheetId="5" r:id="rId5"/>
    <sheet name="BSM-BinaryTree" sheetId="6" r:id="rId6"/>
    <sheet name="TreasuryFutures" sheetId="7" r:id="rId7"/>
    <sheet name="Sheet3" sheetId="8" r:id="rId8"/>
  </sheets>
  <functionGroups builtInGroupCount="17"/>
  <calcPr calcId="145621"/>
</workbook>
</file>

<file path=xl/calcChain.xml><?xml version="1.0" encoding="utf-8"?>
<calcChain xmlns="http://schemas.openxmlformats.org/spreadsheetml/2006/main">
  <c r="K15" i="7" l="1"/>
  <c r="G20" i="7"/>
  <c r="H20" i="7" s="1"/>
  <c r="I20" i="7" s="1"/>
  <c r="J20" i="7" s="1"/>
  <c r="L20" i="7" s="1"/>
  <c r="K20" i="7"/>
  <c r="K21" i="7"/>
  <c r="K22" i="7"/>
  <c r="K23" i="7"/>
  <c r="K24" i="7"/>
  <c r="K25" i="7"/>
  <c r="K26" i="7"/>
  <c r="K27" i="7"/>
  <c r="K28" i="7"/>
  <c r="K29" i="7"/>
  <c r="K30" i="7"/>
  <c r="K19" i="7"/>
  <c r="H19" i="7"/>
  <c r="I19" i="7" s="1"/>
  <c r="J19" i="7" s="1"/>
  <c r="L19" i="7" s="1"/>
  <c r="G19" i="7"/>
  <c r="H18" i="7"/>
  <c r="I18" i="7" s="1"/>
  <c r="J18" i="7" s="1"/>
  <c r="L18" i="7" s="1"/>
  <c r="K18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60" i="7"/>
  <c r="C61" i="7"/>
  <c r="C62" i="7"/>
  <c r="C63" i="7"/>
  <c r="C64" i="7"/>
  <c r="C65" i="7"/>
  <c r="C66" i="7"/>
  <c r="C67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18" i="7"/>
  <c r="C16" i="7"/>
  <c r="F18" i="7"/>
  <c r="B18" i="7"/>
  <c r="A15" i="7"/>
  <c r="A14" i="7"/>
  <c r="F14" i="7"/>
  <c r="E14" i="7"/>
  <c r="D14" i="7"/>
  <c r="C14" i="7"/>
  <c r="B14" i="7"/>
  <c r="I10" i="7"/>
  <c r="I9" i="7"/>
  <c r="I11" i="7"/>
  <c r="D4" i="7"/>
  <c r="D3" i="7"/>
  <c r="D2" i="7"/>
  <c r="G21" i="7" l="1"/>
  <c r="D18" i="7"/>
  <c r="L16" i="5"/>
  <c r="L15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15" i="5"/>
  <c r="B10" i="3"/>
  <c r="C14" i="3"/>
  <c r="E14" i="3"/>
  <c r="M24" i="5"/>
  <c r="M31" i="5"/>
  <c r="M32" i="5"/>
  <c r="M160" i="5"/>
  <c r="M60" i="5"/>
  <c r="M41" i="5"/>
  <c r="M144" i="5"/>
  <c r="M107" i="5"/>
  <c r="M96" i="5"/>
  <c r="M67" i="5"/>
  <c r="G31" i="5"/>
  <c r="M82" i="5"/>
  <c r="M75" i="5"/>
  <c r="M52" i="5"/>
  <c r="G26" i="5"/>
  <c r="M130" i="5"/>
  <c r="M89" i="5"/>
  <c r="M158" i="5"/>
  <c r="M155" i="5"/>
  <c r="M136" i="5"/>
  <c r="M141" i="5"/>
  <c r="M35" i="5"/>
  <c r="M140" i="5"/>
  <c r="M103" i="5"/>
  <c r="M92" i="5"/>
  <c r="M97" i="5"/>
  <c r="G20" i="5"/>
  <c r="M34" i="5"/>
  <c r="M59" i="5"/>
  <c r="M36" i="5"/>
  <c r="G18" i="5"/>
  <c r="M90" i="5"/>
  <c r="M154" i="5"/>
  <c r="M99" i="5"/>
  <c r="M37" i="5"/>
  <c r="M68" i="5"/>
  <c r="M58" i="5"/>
  <c r="G23" i="5"/>
  <c r="G22" i="5"/>
  <c r="M38" i="5"/>
  <c r="M79" i="5"/>
  <c r="G29" i="5"/>
  <c r="G34" i="5"/>
  <c r="M100" i="5"/>
  <c r="M55" i="5"/>
  <c r="M87" i="5"/>
  <c r="G32" i="5"/>
  <c r="G21" i="5"/>
  <c r="M49" i="5"/>
  <c r="G15" i="5"/>
  <c r="M101" i="5"/>
  <c r="M127" i="5"/>
  <c r="M147" i="5"/>
  <c r="M86" i="5"/>
  <c r="M54" i="5"/>
  <c r="M134" i="5"/>
  <c r="M33" i="5"/>
  <c r="M148" i="5"/>
  <c r="M51" i="5"/>
  <c r="M123" i="5"/>
  <c r="M93" i="5"/>
  <c r="M71" i="5"/>
  <c r="M113" i="5"/>
  <c r="M94" i="5"/>
  <c r="M114" i="5"/>
  <c r="M132" i="5"/>
  <c r="G16" i="5"/>
  <c r="M85" i="5"/>
  <c r="M119" i="5"/>
  <c r="M129" i="5"/>
  <c r="M46" i="5"/>
  <c r="M22" i="5"/>
  <c r="M146" i="5"/>
  <c r="M56" i="5"/>
  <c r="M64" i="5"/>
  <c r="M73" i="5"/>
  <c r="M115" i="5"/>
  <c r="M104" i="5"/>
  <c r="M20" i="5"/>
  <c r="M45" i="5"/>
  <c r="G19" i="5"/>
  <c r="M105" i="5"/>
  <c r="M48" i="5"/>
  <c r="M157" i="5"/>
  <c r="M118" i="5"/>
  <c r="M28" i="5"/>
  <c r="M21" i="5"/>
  <c r="M109" i="5"/>
  <c r="M121" i="5"/>
  <c r="M29" i="5"/>
  <c r="M30" i="5"/>
  <c r="M43" i="5"/>
  <c r="M159" i="5"/>
  <c r="G33" i="5"/>
  <c r="M110" i="5"/>
  <c r="M81" i="5"/>
  <c r="M15" i="5"/>
  <c r="M139" i="5"/>
  <c r="M138" i="5"/>
  <c r="M125" i="5"/>
  <c r="M57" i="5"/>
  <c r="M152" i="5"/>
  <c r="M95" i="5"/>
  <c r="M84" i="5"/>
  <c r="M53" i="5"/>
  <c r="G30" i="5"/>
  <c r="M40" i="5"/>
  <c r="M27" i="5"/>
  <c r="M74" i="5"/>
  <c r="G25" i="5"/>
  <c r="M62" i="5"/>
  <c r="M117" i="5"/>
  <c r="M17" i="5"/>
  <c r="M135" i="5"/>
  <c r="M124" i="5"/>
  <c r="M72" i="5"/>
  <c r="M39" i="5"/>
  <c r="M102" i="5"/>
  <c r="M91" i="5"/>
  <c r="M80" i="5"/>
  <c r="G36" i="5"/>
  <c r="M133" i="5"/>
  <c r="M66" i="5"/>
  <c r="M88" i="5"/>
  <c r="M111" i="5"/>
  <c r="M106" i="5"/>
  <c r="G17" i="5"/>
  <c r="M131" i="5"/>
  <c r="M23" i="5"/>
  <c r="G35" i="5"/>
  <c r="M149" i="5"/>
  <c r="M122" i="5"/>
  <c r="M70" i="5"/>
  <c r="M137" i="5"/>
  <c r="M42" i="5"/>
  <c r="M76" i="5"/>
  <c r="G28" i="5"/>
  <c r="M116" i="5"/>
  <c r="M18" i="5"/>
  <c r="M83" i="5"/>
  <c r="G24" i="5"/>
  <c r="M50" i="5"/>
  <c r="M26" i="5"/>
  <c r="M78" i="5"/>
  <c r="G37" i="5"/>
  <c r="M112" i="5"/>
  <c r="M19" i="5"/>
  <c r="M25" i="5"/>
  <c r="M44" i="5"/>
  <c r="M120" i="5"/>
  <c r="M150" i="5"/>
  <c r="G38" i="5"/>
  <c r="M108" i="5"/>
  <c r="M16" i="5"/>
  <c r="M61" i="5"/>
  <c r="G27" i="5"/>
  <c r="M63" i="5"/>
  <c r="M142" i="5"/>
  <c r="M153" i="5"/>
  <c r="M156" i="5"/>
  <c r="M69" i="5"/>
  <c r="M98" i="5"/>
  <c r="M145" i="5"/>
  <c r="M128" i="5"/>
  <c r="M47" i="5"/>
  <c r="M126" i="5"/>
  <c r="M143" i="5"/>
  <c r="G39" i="5"/>
  <c r="M65" i="5"/>
  <c r="M77" i="5"/>
  <c r="M151" i="5"/>
  <c r="B7" i="5"/>
  <c r="B8" i="5"/>
  <c r="B11" i="5"/>
  <c r="G22" i="7" l="1"/>
  <c r="H21" i="7"/>
  <c r="I21" i="7" s="1"/>
  <c r="J21" i="7" s="1"/>
  <c r="L21" i="7" s="1"/>
  <c r="E18" i="7"/>
  <c r="A19" i="7"/>
  <c r="K14" i="5"/>
  <c r="F14" i="5"/>
  <c r="B14" i="5"/>
  <c r="B9" i="5"/>
  <c r="B10" i="5"/>
  <c r="I10" i="3"/>
  <c r="F15" i="4"/>
  <c r="F17" i="4" s="1"/>
  <c r="E15" i="4"/>
  <c r="E20" i="4" s="1"/>
  <c r="D15" i="4"/>
  <c r="D17" i="4" s="1"/>
  <c r="C15" i="4"/>
  <c r="C20" i="4" s="1"/>
  <c r="B15" i="4"/>
  <c r="B17" i="4" s="1"/>
  <c r="F14" i="4"/>
  <c r="F19" i="4" s="1"/>
  <c r="E14" i="4"/>
  <c r="E16" i="4" s="1"/>
  <c r="D14" i="4"/>
  <c r="D19" i="4" s="1"/>
  <c r="C14" i="4"/>
  <c r="C16" i="4" s="1"/>
  <c r="B14" i="4"/>
  <c r="B19" i="4" s="1"/>
  <c r="F11" i="4"/>
  <c r="E11" i="4"/>
  <c r="D11" i="4"/>
  <c r="C11" i="4"/>
  <c r="B11" i="4"/>
  <c r="F8" i="4"/>
  <c r="E8" i="4"/>
  <c r="D8" i="4"/>
  <c r="C8" i="4"/>
  <c r="B8" i="4"/>
  <c r="C10" i="2"/>
  <c r="D10" i="2"/>
  <c r="D12" i="2" s="1"/>
  <c r="E10" i="2"/>
  <c r="F10" i="2"/>
  <c r="G10" i="2"/>
  <c r="H10" i="2"/>
  <c r="H12" i="2" s="1"/>
  <c r="I10" i="2"/>
  <c r="J10" i="2"/>
  <c r="K10" i="2"/>
  <c r="K12" i="2" s="1"/>
  <c r="L10" i="2"/>
  <c r="M10" i="2"/>
  <c r="N10" i="2"/>
  <c r="O10" i="2"/>
  <c r="O12" i="2" s="1"/>
  <c r="P10" i="2"/>
  <c r="P12" i="2" s="1"/>
  <c r="Q10" i="2"/>
  <c r="R10" i="2"/>
  <c r="S10" i="2"/>
  <c r="T10" i="2"/>
  <c r="T12" i="2" s="1"/>
  <c r="U10" i="2"/>
  <c r="V10" i="2"/>
  <c r="W10" i="2"/>
  <c r="C11" i="2"/>
  <c r="D11" i="2"/>
  <c r="E11" i="2"/>
  <c r="F11" i="2"/>
  <c r="F12" i="2" s="1"/>
  <c r="G11" i="2"/>
  <c r="H11" i="2"/>
  <c r="I11" i="2"/>
  <c r="J11" i="2"/>
  <c r="J12" i="2" s="1"/>
  <c r="K11" i="2"/>
  <c r="L11" i="2"/>
  <c r="M11" i="2"/>
  <c r="N11" i="2"/>
  <c r="N12" i="2" s="1"/>
  <c r="O11" i="2"/>
  <c r="P11" i="2"/>
  <c r="Q11" i="2"/>
  <c r="R11" i="2"/>
  <c r="R12" i="2" s="1"/>
  <c r="S11" i="2"/>
  <c r="T11" i="2"/>
  <c r="U11" i="2"/>
  <c r="V11" i="2"/>
  <c r="V12" i="2" s="1"/>
  <c r="W11" i="2"/>
  <c r="X11" i="2"/>
  <c r="B11" i="2"/>
  <c r="X12" i="2"/>
  <c r="W12" i="2"/>
  <c r="U12" i="2"/>
  <c r="S12" i="2"/>
  <c r="Q12" i="2"/>
  <c r="M12" i="2"/>
  <c r="L12" i="2"/>
  <c r="I12" i="2"/>
  <c r="G12" i="2"/>
  <c r="E12" i="2"/>
  <c r="C12" i="2"/>
  <c r="B12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B7" i="2"/>
  <c r="B10" i="2"/>
  <c r="X10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B8" i="2"/>
  <c r="M20" i="2"/>
  <c r="L19" i="2"/>
  <c r="M15" i="2"/>
  <c r="M17" i="2" s="1"/>
  <c r="L15" i="2"/>
  <c r="L20" i="2" s="1"/>
  <c r="L21" i="2" s="1"/>
  <c r="K15" i="2"/>
  <c r="K20" i="2" s="1"/>
  <c r="M14" i="2"/>
  <c r="M16" i="2" s="1"/>
  <c r="M18" i="2" s="1"/>
  <c r="L14" i="2"/>
  <c r="L16" i="2" s="1"/>
  <c r="K14" i="2"/>
  <c r="K19" i="2" s="1"/>
  <c r="E15" i="2"/>
  <c r="E20" i="2" s="1"/>
  <c r="E21" i="2" s="1"/>
  <c r="D15" i="2"/>
  <c r="D20" i="2" s="1"/>
  <c r="C15" i="2"/>
  <c r="C20" i="2" s="1"/>
  <c r="B15" i="2"/>
  <c r="B20" i="2" s="1"/>
  <c r="E14" i="2"/>
  <c r="E19" i="2" s="1"/>
  <c r="D14" i="2"/>
  <c r="D19" i="2" s="1"/>
  <c r="C14" i="2"/>
  <c r="C19" i="2" s="1"/>
  <c r="B14" i="2"/>
  <c r="B19" i="2" s="1"/>
  <c r="G14" i="2"/>
  <c r="G19" i="2" s="1"/>
  <c r="H14" i="2"/>
  <c r="H16" i="2" s="1"/>
  <c r="I14" i="2"/>
  <c r="I16" i="2" s="1"/>
  <c r="J14" i="2"/>
  <c r="J16" i="2" s="1"/>
  <c r="N14" i="2"/>
  <c r="N19" i="2" s="1"/>
  <c r="O14" i="2"/>
  <c r="O19" i="2" s="1"/>
  <c r="P14" i="2"/>
  <c r="P16" i="2" s="1"/>
  <c r="Q14" i="2"/>
  <c r="Q16" i="2" s="1"/>
  <c r="R14" i="2"/>
  <c r="R19" i="2" s="1"/>
  <c r="S14" i="2"/>
  <c r="S19" i="2" s="1"/>
  <c r="T14" i="2"/>
  <c r="T19" i="2" s="1"/>
  <c r="U14" i="2"/>
  <c r="U16" i="2" s="1"/>
  <c r="V14" i="2"/>
  <c r="V19" i="2" s="1"/>
  <c r="W14" i="2"/>
  <c r="W16" i="2" s="1"/>
  <c r="X14" i="2"/>
  <c r="X19" i="2" s="1"/>
  <c r="G15" i="2"/>
  <c r="G17" i="2" s="1"/>
  <c r="H15" i="2"/>
  <c r="H20" i="2" s="1"/>
  <c r="I15" i="2"/>
  <c r="I17" i="2" s="1"/>
  <c r="J15" i="2"/>
  <c r="J20" i="2" s="1"/>
  <c r="N15" i="2"/>
  <c r="N17" i="2" s="1"/>
  <c r="O15" i="2"/>
  <c r="O20" i="2" s="1"/>
  <c r="P15" i="2"/>
  <c r="P20" i="2" s="1"/>
  <c r="Q15" i="2"/>
  <c r="Q17" i="2" s="1"/>
  <c r="R15" i="2"/>
  <c r="R17" i="2" s="1"/>
  <c r="S15" i="2"/>
  <c r="S20" i="2" s="1"/>
  <c r="T15" i="2"/>
  <c r="T20" i="2" s="1"/>
  <c r="U15" i="2"/>
  <c r="U20" i="2" s="1"/>
  <c r="V15" i="2"/>
  <c r="V17" i="2" s="1"/>
  <c r="W15" i="2"/>
  <c r="W20" i="2" s="1"/>
  <c r="X15" i="2"/>
  <c r="X20" i="2" s="1"/>
  <c r="O16" i="2"/>
  <c r="F15" i="2"/>
  <c r="F17" i="2" s="1"/>
  <c r="F14" i="2"/>
  <c r="F16" i="2" s="1"/>
  <c r="H9" i="3"/>
  <c r="H4" i="3"/>
  <c r="G4" i="3"/>
  <c r="J9" i="3"/>
  <c r="I9" i="3"/>
  <c r="F14" i="3"/>
  <c r="H22" i="7" l="1"/>
  <c r="I22" i="7" s="1"/>
  <c r="J22" i="7" s="1"/>
  <c r="L22" i="7" s="1"/>
  <c r="G23" i="7" s="1"/>
  <c r="F19" i="7"/>
  <c r="B19" i="7"/>
  <c r="D19" i="7" s="1"/>
  <c r="E19" i="7" s="1"/>
  <c r="H14" i="3"/>
  <c r="G14" i="3"/>
  <c r="D14" i="3"/>
  <c r="F20" i="4"/>
  <c r="E17" i="4"/>
  <c r="C19" i="4"/>
  <c r="C21" i="4" s="1"/>
  <c r="C10" i="4" s="1"/>
  <c r="C12" i="4" s="1"/>
  <c r="B16" i="4"/>
  <c r="B18" i="4" s="1"/>
  <c r="B7" i="4" s="1"/>
  <c r="B9" i="4" s="1"/>
  <c r="B20" i="4"/>
  <c r="B21" i="4" s="1"/>
  <c r="B10" i="4" s="1"/>
  <c r="B12" i="4" s="1"/>
  <c r="E18" i="4"/>
  <c r="E7" i="4" s="1"/>
  <c r="E9" i="4" s="1"/>
  <c r="F16" i="4"/>
  <c r="F18" i="4"/>
  <c r="F7" i="4" s="1"/>
  <c r="F9" i="4" s="1"/>
  <c r="F21" i="4"/>
  <c r="F10" i="4" s="1"/>
  <c r="F12" i="4" s="1"/>
  <c r="D16" i="4"/>
  <c r="D18" i="4" s="1"/>
  <c r="D7" i="4" s="1"/>
  <c r="D9" i="4" s="1"/>
  <c r="C17" i="4"/>
  <c r="C18" i="4" s="1"/>
  <c r="C7" i="4" s="1"/>
  <c r="C9" i="4" s="1"/>
  <c r="E19" i="4"/>
  <c r="E21" i="4" s="1"/>
  <c r="E10" i="4" s="1"/>
  <c r="E12" i="4" s="1"/>
  <c r="D20" i="4"/>
  <c r="D21" i="4" s="1"/>
  <c r="D10" i="4" s="1"/>
  <c r="D12" i="4" s="1"/>
  <c r="K17" i="2"/>
  <c r="V16" i="2"/>
  <c r="V18" i="2" s="1"/>
  <c r="M9" i="2"/>
  <c r="M19" i="2"/>
  <c r="M21" i="2" s="1"/>
  <c r="K21" i="2"/>
  <c r="L9" i="2"/>
  <c r="K16" i="2"/>
  <c r="L17" i="2"/>
  <c r="L18" i="2" s="1"/>
  <c r="B21" i="2"/>
  <c r="C21" i="2"/>
  <c r="D21" i="2"/>
  <c r="B16" i="2"/>
  <c r="B17" i="2"/>
  <c r="C16" i="2"/>
  <c r="C17" i="2"/>
  <c r="D16" i="2"/>
  <c r="D17" i="2"/>
  <c r="E16" i="2"/>
  <c r="E17" i="2"/>
  <c r="F9" i="2"/>
  <c r="P17" i="2"/>
  <c r="P9" i="2" s="1"/>
  <c r="U17" i="2"/>
  <c r="U18" i="2" s="1"/>
  <c r="T16" i="2"/>
  <c r="O21" i="2"/>
  <c r="T17" i="2"/>
  <c r="S21" i="2"/>
  <c r="S17" i="2"/>
  <c r="S16" i="2"/>
  <c r="G20" i="2"/>
  <c r="G21" i="2" s="1"/>
  <c r="W17" i="2"/>
  <c r="W18" i="2" s="1"/>
  <c r="N16" i="2"/>
  <c r="N18" i="2" s="1"/>
  <c r="V20" i="2"/>
  <c r="V21" i="2" s="1"/>
  <c r="U19" i="2"/>
  <c r="U21" i="2" s="1"/>
  <c r="O17" i="2"/>
  <c r="O18" i="2" s="1"/>
  <c r="G16" i="2"/>
  <c r="G18" i="2" s="1"/>
  <c r="R20" i="2"/>
  <c r="R21" i="2" s="1"/>
  <c r="Q19" i="2"/>
  <c r="O9" i="2"/>
  <c r="F18" i="2"/>
  <c r="H17" i="2"/>
  <c r="H9" i="2" s="1"/>
  <c r="R16" i="2"/>
  <c r="R18" i="2" s="1"/>
  <c r="N20" i="2"/>
  <c r="N21" i="2" s="1"/>
  <c r="J19" i="2"/>
  <c r="J21" i="2" s="1"/>
  <c r="P18" i="2"/>
  <c r="I9" i="2"/>
  <c r="I18" i="2"/>
  <c r="X21" i="2"/>
  <c r="T21" i="2"/>
  <c r="W9" i="2"/>
  <c r="H18" i="2"/>
  <c r="F20" i="2"/>
  <c r="X16" i="2"/>
  <c r="Q20" i="2"/>
  <c r="P19" i="2"/>
  <c r="P21" i="2" s="1"/>
  <c r="I19" i="2"/>
  <c r="X17" i="2"/>
  <c r="J17" i="2"/>
  <c r="J9" i="2" s="1"/>
  <c r="I20" i="2"/>
  <c r="W19" i="2"/>
  <c r="W21" i="2" s="1"/>
  <c r="H19" i="2"/>
  <c r="H21" i="2" s="1"/>
  <c r="V9" i="2"/>
  <c r="U9" i="2"/>
  <c r="Q9" i="2"/>
  <c r="Q18" i="2"/>
  <c r="F19" i="2"/>
  <c r="G65" i="1"/>
  <c r="F65" i="1"/>
  <c r="E65" i="1"/>
  <c r="D65" i="1"/>
  <c r="F54" i="1"/>
  <c r="E54" i="1"/>
  <c r="D47" i="1"/>
  <c r="D48" i="1" s="1"/>
  <c r="D46" i="1"/>
  <c r="H67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D45" i="1" s="1"/>
  <c r="H39" i="1"/>
  <c r="G39" i="1"/>
  <c r="F41" i="1"/>
  <c r="F39" i="1"/>
  <c r="F38" i="1"/>
  <c r="D38" i="1"/>
  <c r="F37" i="1"/>
  <c r="E37" i="1"/>
  <c r="D21" i="1"/>
  <c r="D22" i="1" s="1"/>
  <c r="D20" i="1"/>
  <c r="D19" i="1"/>
  <c r="E19" i="1" s="1"/>
  <c r="D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E18" i="1"/>
  <c r="F18" i="1" s="1"/>
  <c r="C17" i="1"/>
  <c r="C18" i="1"/>
  <c r="D17" i="1"/>
  <c r="E17" i="1" s="1"/>
  <c r="F17" i="1" s="1"/>
  <c r="G17" i="1" s="1"/>
  <c r="B17" i="1"/>
  <c r="B14" i="1"/>
  <c r="C11" i="1"/>
  <c r="B10" i="1"/>
  <c r="B11" i="1"/>
  <c r="B13" i="1"/>
  <c r="B9" i="1"/>
  <c r="G24" i="7" l="1"/>
  <c r="H23" i="7"/>
  <c r="I23" i="7" s="1"/>
  <c r="J23" i="7" s="1"/>
  <c r="L23" i="7" s="1"/>
  <c r="A20" i="7"/>
  <c r="B20" i="7" s="1"/>
  <c r="D20" i="7" s="1"/>
  <c r="E20" i="7" s="1"/>
  <c r="F20" i="7"/>
  <c r="I14" i="3"/>
  <c r="B15" i="3" s="1"/>
  <c r="K9" i="2"/>
  <c r="K18" i="2"/>
  <c r="D18" i="2"/>
  <c r="D9" i="2"/>
  <c r="B18" i="2"/>
  <c r="B9" i="2"/>
  <c r="E18" i="2"/>
  <c r="E9" i="2"/>
  <c r="C18" i="2"/>
  <c r="C9" i="2"/>
  <c r="G9" i="2"/>
  <c r="N9" i="2"/>
  <c r="T18" i="2"/>
  <c r="S18" i="2"/>
  <c r="S9" i="2"/>
  <c r="T9" i="2"/>
  <c r="I21" i="2"/>
  <c r="R9" i="2"/>
  <c r="Q21" i="2"/>
  <c r="J18" i="2"/>
  <c r="F21" i="2"/>
  <c r="X9" i="2"/>
  <c r="X18" i="2"/>
  <c r="D49" i="1"/>
  <c r="E46" i="1"/>
  <c r="E47" i="1"/>
  <c r="E45" i="1"/>
  <c r="F45" i="1" s="1"/>
  <c r="D23" i="1"/>
  <c r="D24" i="1"/>
  <c r="D25" i="1" s="1"/>
  <c r="E21" i="1"/>
  <c r="G18" i="1"/>
  <c r="F19" i="1" s="1"/>
  <c r="E20" i="1"/>
  <c r="B12" i="1"/>
  <c r="E15" i="3"/>
  <c r="F15" i="3"/>
  <c r="C15" i="3"/>
  <c r="H24" i="7" l="1"/>
  <c r="I24" i="7" s="1"/>
  <c r="J24" i="7" s="1"/>
  <c r="L24" i="7" s="1"/>
  <c r="G25" i="7" s="1"/>
  <c r="A21" i="7"/>
  <c r="D15" i="3"/>
  <c r="G15" i="3"/>
  <c r="H15" i="3"/>
  <c r="D50" i="1"/>
  <c r="G45" i="1"/>
  <c r="F46" i="1" s="1"/>
  <c r="D26" i="1"/>
  <c r="G19" i="1"/>
  <c r="F20" i="1"/>
  <c r="G20" i="1"/>
  <c r="F21" i="1" s="1"/>
  <c r="H25" i="7" l="1"/>
  <c r="I25" i="7" s="1"/>
  <c r="J25" i="7" s="1"/>
  <c r="L25" i="7" s="1"/>
  <c r="G26" i="7" s="1"/>
  <c r="B21" i="7"/>
  <c r="D21" i="7" s="1"/>
  <c r="E21" i="7" s="1"/>
  <c r="F21" i="7"/>
  <c r="I15" i="3"/>
  <c r="B16" i="3" s="1"/>
  <c r="D51" i="1"/>
  <c r="E48" i="1"/>
  <c r="E49" i="1"/>
  <c r="G46" i="1"/>
  <c r="F47" i="1" s="1"/>
  <c r="D28" i="1"/>
  <c r="D27" i="1"/>
  <c r="E22" i="1"/>
  <c r="G21" i="1"/>
  <c r="C16" i="3"/>
  <c r="F16" i="3"/>
  <c r="E16" i="3"/>
  <c r="H26" i="7" l="1"/>
  <c r="I26" i="7" s="1"/>
  <c r="J26" i="7" s="1"/>
  <c r="L26" i="7" s="1"/>
  <c r="G27" i="7" s="1"/>
  <c r="A22" i="7"/>
  <c r="D16" i="3"/>
  <c r="G16" i="3"/>
  <c r="H16" i="3"/>
  <c r="D52" i="1"/>
  <c r="E50" i="1"/>
  <c r="G47" i="1"/>
  <c r="F48" i="1" s="1"/>
  <c r="D29" i="1"/>
  <c r="F22" i="1"/>
  <c r="E23" i="1"/>
  <c r="G22" i="1"/>
  <c r="H27" i="7" l="1"/>
  <c r="I27" i="7" s="1"/>
  <c r="J27" i="7" s="1"/>
  <c r="L27" i="7" s="1"/>
  <c r="G28" i="7" s="1"/>
  <c r="B22" i="7"/>
  <c r="D22" i="7" s="1"/>
  <c r="E22" i="7" s="1"/>
  <c r="F22" i="7"/>
  <c r="I16" i="3"/>
  <c r="B17" i="3" s="1"/>
  <c r="D53" i="1"/>
  <c r="E51" i="1"/>
  <c r="G48" i="1"/>
  <c r="F49" i="1" s="1"/>
  <c r="D30" i="1"/>
  <c r="D31" i="1"/>
  <c r="F23" i="1"/>
  <c r="G23" i="1" s="1"/>
  <c r="E24" i="1"/>
  <c r="C17" i="3"/>
  <c r="F17" i="3"/>
  <c r="E17" i="3"/>
  <c r="H28" i="7" l="1"/>
  <c r="I28" i="7" s="1"/>
  <c r="J28" i="7" s="1"/>
  <c r="L28" i="7" s="1"/>
  <c r="G29" i="7"/>
  <c r="A23" i="7"/>
  <c r="F23" i="7" s="1"/>
  <c r="D17" i="3"/>
  <c r="G17" i="3"/>
  <c r="H17" i="3"/>
  <c r="D54" i="1"/>
  <c r="E52" i="1"/>
  <c r="G49" i="1"/>
  <c r="F50" i="1" s="1"/>
  <c r="D32" i="1"/>
  <c r="D33" i="1" s="1"/>
  <c r="D34" i="1" s="1"/>
  <c r="D35" i="1" s="1"/>
  <c r="D36" i="1" s="1"/>
  <c r="F24" i="1"/>
  <c r="G24" i="1" s="1"/>
  <c r="E25" i="1"/>
  <c r="H29" i="7" l="1"/>
  <c r="I29" i="7" s="1"/>
  <c r="J29" i="7" s="1"/>
  <c r="L29" i="7" s="1"/>
  <c r="G30" i="7" s="1"/>
  <c r="H30" i="7" s="1"/>
  <c r="I30" i="7" s="1"/>
  <c r="J30" i="7" s="1"/>
  <c r="L30" i="7" s="1"/>
  <c r="B23" i="7"/>
  <c r="D23" i="7" s="1"/>
  <c r="E23" i="7" s="1"/>
  <c r="I17" i="3"/>
  <c r="D56" i="1"/>
  <c r="D57" i="1" s="1"/>
  <c r="D58" i="1" s="1"/>
  <c r="D59" i="1" s="1"/>
  <c r="D60" i="1" s="1"/>
  <c r="D61" i="1" s="1"/>
  <c r="D62" i="1" s="1"/>
  <c r="D63" i="1" s="1"/>
  <c r="D64" i="1" s="1"/>
  <c r="D55" i="1"/>
  <c r="E53" i="1"/>
  <c r="G50" i="1"/>
  <c r="F51" i="1" s="1"/>
  <c r="F25" i="1"/>
  <c r="G25" i="1" s="1"/>
  <c r="E26" i="1"/>
  <c r="A24" i="7" l="1"/>
  <c r="G51" i="1"/>
  <c r="F52" i="1" s="1"/>
  <c r="F26" i="1"/>
  <c r="G26" i="1" s="1"/>
  <c r="E27" i="1"/>
  <c r="B24" i="7" l="1"/>
  <c r="D24" i="7" s="1"/>
  <c r="E24" i="7" s="1"/>
  <c r="F24" i="7"/>
  <c r="E55" i="1"/>
  <c r="G52" i="1"/>
  <c r="F53" i="1" s="1"/>
  <c r="F27" i="1"/>
  <c r="G27" i="1" s="1"/>
  <c r="E28" i="1"/>
  <c r="A25" i="7" l="1"/>
  <c r="E57" i="1"/>
  <c r="G53" i="1"/>
  <c r="F28" i="1"/>
  <c r="G28" i="1" s="1"/>
  <c r="E29" i="1"/>
  <c r="B25" i="7" l="1"/>
  <c r="D25" i="7" s="1"/>
  <c r="E25" i="7" s="1"/>
  <c r="F25" i="7"/>
  <c r="E58" i="1"/>
  <c r="E56" i="1"/>
  <c r="G54" i="1"/>
  <c r="F55" i="1" s="1"/>
  <c r="F29" i="1"/>
  <c r="G29" i="1" s="1"/>
  <c r="E30" i="1"/>
  <c r="A26" i="7" l="1"/>
  <c r="E60" i="1"/>
  <c r="G55" i="1"/>
  <c r="F56" i="1" s="1"/>
  <c r="F30" i="1"/>
  <c r="G30" i="1" s="1"/>
  <c r="E31" i="1"/>
  <c r="F26" i="7" l="1"/>
  <c r="B26" i="7"/>
  <c r="D26" i="7" s="1"/>
  <c r="E26" i="7" s="1"/>
  <c r="E59" i="1"/>
  <c r="G56" i="1"/>
  <c r="F57" i="1" s="1"/>
  <c r="F31" i="1"/>
  <c r="G31" i="1" s="1"/>
  <c r="E32" i="1"/>
  <c r="A27" i="7" l="1"/>
  <c r="E61" i="1"/>
  <c r="G57" i="1"/>
  <c r="F58" i="1" s="1"/>
  <c r="F32" i="1"/>
  <c r="G32" i="1" s="1"/>
  <c r="E33" i="1"/>
  <c r="F27" i="7" l="1"/>
  <c r="B27" i="7"/>
  <c r="D27" i="7" s="1"/>
  <c r="E27" i="7" s="1"/>
  <c r="E62" i="1"/>
  <c r="G58" i="1"/>
  <c r="F59" i="1" s="1"/>
  <c r="F33" i="1"/>
  <c r="E34" i="1"/>
  <c r="G33" i="1"/>
  <c r="A28" i="7" l="1"/>
  <c r="E64" i="1"/>
  <c r="E63" i="1"/>
  <c r="G59" i="1"/>
  <c r="F60" i="1" s="1"/>
  <c r="F34" i="1"/>
  <c r="E35" i="1"/>
  <c r="E36" i="1"/>
  <c r="G34" i="1"/>
  <c r="B28" i="7" l="1"/>
  <c r="D28" i="7" s="1"/>
  <c r="E28" i="7" s="1"/>
  <c r="F28" i="7"/>
  <c r="D66" i="1"/>
  <c r="F66" i="1" s="1"/>
  <c r="G60" i="1"/>
  <c r="F61" i="1" s="1"/>
  <c r="F35" i="1"/>
  <c r="G35" i="1" s="1"/>
  <c r="F36" i="1" s="1"/>
  <c r="G36" i="1" s="1"/>
  <c r="A29" i="7" l="1"/>
  <c r="G61" i="1"/>
  <c r="F62" i="1" s="1"/>
  <c r="F29" i="7" l="1"/>
  <c r="B29" i="7"/>
  <c r="D29" i="7" s="1"/>
  <c r="E29" i="7" s="1"/>
  <c r="G62" i="1"/>
  <c r="F63" i="1" s="1"/>
  <c r="A30" i="7" l="1"/>
  <c r="G63" i="1"/>
  <c r="F64" i="1" s="1"/>
  <c r="F30" i="7" l="1"/>
  <c r="B30" i="7"/>
  <c r="D30" i="7" s="1"/>
  <c r="E30" i="7" s="1"/>
  <c r="G64" i="1"/>
  <c r="F67" i="1" s="1"/>
  <c r="A31" i="7" l="1"/>
  <c r="F69" i="1"/>
  <c r="G67" i="1"/>
  <c r="F31" i="7" l="1"/>
  <c r="B31" i="7"/>
  <c r="D31" i="7" s="1"/>
  <c r="E31" i="7" s="1"/>
  <c r="A32" i="7" l="1"/>
  <c r="F32" i="7" l="1"/>
  <c r="B32" i="7"/>
  <c r="D32" i="7" s="1"/>
  <c r="E32" i="7" s="1"/>
  <c r="A33" i="7" l="1"/>
  <c r="F33" i="7" l="1"/>
  <c r="B33" i="7"/>
  <c r="D33" i="7" s="1"/>
  <c r="E33" i="7" s="1"/>
  <c r="A34" i="7" l="1"/>
  <c r="B34" i="7" l="1"/>
  <c r="D34" i="7" s="1"/>
  <c r="E34" i="7" s="1"/>
  <c r="F34" i="7"/>
  <c r="A35" i="7" l="1"/>
  <c r="B35" i="7" l="1"/>
  <c r="D35" i="7" s="1"/>
  <c r="E35" i="7" s="1"/>
  <c r="F35" i="7"/>
  <c r="A36" i="7" l="1"/>
  <c r="B36" i="7" l="1"/>
  <c r="D36" i="7" s="1"/>
  <c r="E36" i="7" s="1"/>
  <c r="F36" i="7"/>
  <c r="A37" i="7" l="1"/>
  <c r="F37" i="7" l="1"/>
  <c r="B37" i="7"/>
  <c r="D37" i="7" s="1"/>
  <c r="E37" i="7" s="1"/>
  <c r="A38" i="7" l="1"/>
  <c r="F38" i="7" l="1"/>
  <c r="B38" i="7"/>
  <c r="D38" i="7" s="1"/>
  <c r="E38" i="7" s="1"/>
  <c r="A39" i="7" l="1"/>
  <c r="F39" i="7" l="1"/>
  <c r="B39" i="7"/>
  <c r="D39" i="7" s="1"/>
  <c r="E39" i="7" s="1"/>
  <c r="A40" i="7" l="1"/>
  <c r="F40" i="7" l="1"/>
  <c r="B40" i="7"/>
  <c r="D40" i="7" s="1"/>
  <c r="E40" i="7" s="1"/>
  <c r="A41" i="7" l="1"/>
  <c r="B41" i="7" l="1"/>
  <c r="D41" i="7" s="1"/>
  <c r="E41" i="7" s="1"/>
  <c r="F41" i="7"/>
  <c r="A42" i="7" l="1"/>
  <c r="F42" i="7" l="1"/>
  <c r="B42" i="7"/>
  <c r="D42" i="7" s="1"/>
  <c r="E42" i="7" s="1"/>
  <c r="A43" i="7" l="1"/>
  <c r="B43" i="7" l="1"/>
  <c r="D43" i="7" s="1"/>
  <c r="E43" i="7" s="1"/>
  <c r="F43" i="7"/>
  <c r="A44" i="7" l="1"/>
  <c r="F44" i="7" s="1"/>
  <c r="B44" i="7" l="1"/>
  <c r="D44" i="7" s="1"/>
  <c r="E44" i="7" s="1"/>
  <c r="A45" i="7"/>
  <c r="B45" i="7" l="1"/>
  <c r="D45" i="7" s="1"/>
  <c r="E45" i="7" s="1"/>
  <c r="F45" i="7"/>
  <c r="A46" i="7" l="1"/>
  <c r="F46" i="7" l="1"/>
  <c r="B46" i="7"/>
  <c r="D46" i="7" s="1"/>
  <c r="E46" i="7" s="1"/>
  <c r="A47" i="7" l="1"/>
  <c r="B47" i="7" s="1"/>
  <c r="D47" i="7" s="1"/>
  <c r="E47" i="7" s="1"/>
  <c r="F47" i="7"/>
  <c r="A48" i="7" l="1"/>
  <c r="F48" i="7" s="1"/>
  <c r="B48" i="7"/>
  <c r="D48" i="7" s="1"/>
  <c r="E48" i="7" s="1"/>
  <c r="A49" i="7" l="1"/>
  <c r="B49" i="7" l="1"/>
  <c r="D49" i="7" s="1"/>
  <c r="E49" i="7" s="1"/>
  <c r="F49" i="7"/>
  <c r="A50" i="7" l="1"/>
  <c r="B50" i="7" l="1"/>
  <c r="D50" i="7" s="1"/>
  <c r="E50" i="7" s="1"/>
  <c r="F50" i="7"/>
  <c r="A51" i="7" l="1"/>
  <c r="F51" i="7" s="1"/>
  <c r="B51" i="7"/>
  <c r="D51" i="7" s="1"/>
  <c r="E51" i="7" s="1"/>
  <c r="A52" i="7" l="1"/>
  <c r="B52" i="7"/>
  <c r="D52" i="7" s="1"/>
  <c r="E52" i="7" s="1"/>
  <c r="F52" i="7"/>
  <c r="A53" i="7" l="1"/>
  <c r="B53" i="7" l="1"/>
  <c r="D53" i="7" s="1"/>
  <c r="E53" i="7" s="1"/>
  <c r="F53" i="7"/>
  <c r="A54" i="7" l="1"/>
  <c r="B54" i="7" l="1"/>
  <c r="D54" i="7" s="1"/>
  <c r="E54" i="7" s="1"/>
  <c r="F54" i="7"/>
  <c r="A55" i="7" l="1"/>
  <c r="B55" i="7" l="1"/>
  <c r="D55" i="7" s="1"/>
  <c r="E55" i="7" s="1"/>
  <c r="F55" i="7"/>
  <c r="A56" i="7" l="1"/>
  <c r="B56" i="7" l="1"/>
  <c r="D56" i="7" s="1"/>
  <c r="E56" i="7" s="1"/>
  <c r="F56" i="7"/>
  <c r="A57" i="7" l="1"/>
  <c r="B57" i="7" l="1"/>
  <c r="D57" i="7" s="1"/>
  <c r="E57" i="7" s="1"/>
  <c r="F57" i="7"/>
  <c r="A58" i="7" l="1"/>
  <c r="B58" i="7" l="1"/>
  <c r="D58" i="7" s="1"/>
  <c r="E58" i="7" s="1"/>
  <c r="F58" i="7"/>
  <c r="A59" i="7" l="1"/>
  <c r="B59" i="7" l="1"/>
  <c r="D59" i="7" s="1"/>
  <c r="E59" i="7" s="1"/>
  <c r="F59" i="7"/>
  <c r="A60" i="7" l="1"/>
  <c r="F60" i="7"/>
  <c r="B60" i="7"/>
  <c r="D60" i="7" s="1"/>
  <c r="E60" i="7" s="1"/>
  <c r="A61" i="7" l="1"/>
  <c r="B61" i="7"/>
  <c r="D61" i="7" s="1"/>
  <c r="E61" i="7" s="1"/>
  <c r="F61" i="7"/>
  <c r="A62" i="7" l="1"/>
  <c r="B62" i="7" l="1"/>
  <c r="D62" i="7" s="1"/>
  <c r="E62" i="7" s="1"/>
  <c r="F62" i="7"/>
  <c r="A63" i="7" l="1"/>
  <c r="B63" i="7" l="1"/>
  <c r="D63" i="7" s="1"/>
  <c r="E63" i="7" s="1"/>
  <c r="F63" i="7"/>
  <c r="A64" i="7" l="1"/>
  <c r="B64" i="7" l="1"/>
  <c r="D64" i="7" s="1"/>
  <c r="E64" i="7" s="1"/>
  <c r="F64" i="7"/>
  <c r="A65" i="7" l="1"/>
  <c r="B65" i="7" l="1"/>
  <c r="D65" i="7" s="1"/>
  <c r="E65" i="7" s="1"/>
  <c r="F65" i="7"/>
  <c r="A66" i="7" l="1"/>
  <c r="B66" i="7" l="1"/>
  <c r="D66" i="7" s="1"/>
  <c r="E66" i="7" s="1"/>
  <c r="F66" i="7"/>
  <c r="A67" i="7" l="1"/>
  <c r="B67" i="7" l="1"/>
  <c r="D67" i="7" s="1"/>
  <c r="E67" i="7" s="1"/>
  <c r="F67" i="7"/>
  <c r="A68" i="7" l="1"/>
  <c r="F68" i="7" s="1"/>
  <c r="B68" i="7"/>
  <c r="D68" i="7" s="1"/>
  <c r="E68" i="7" s="1"/>
  <c r="A69" i="7" l="1"/>
  <c r="F69" i="7" l="1"/>
  <c r="B69" i="7"/>
  <c r="D69" i="7" s="1"/>
  <c r="E69" i="7" s="1"/>
  <c r="A70" i="7" l="1"/>
  <c r="B70" i="7" s="1"/>
  <c r="D70" i="7" s="1"/>
  <c r="E70" i="7" s="1"/>
  <c r="F70" i="7"/>
  <c r="A71" i="7" l="1"/>
  <c r="B71" i="7" s="1"/>
  <c r="D71" i="7" s="1"/>
  <c r="E71" i="7" s="1"/>
  <c r="F71" i="7" l="1"/>
  <c r="A72" i="7" s="1"/>
  <c r="F72" i="7" l="1"/>
  <c r="B72" i="7"/>
  <c r="D72" i="7" s="1"/>
  <c r="E72" i="7" s="1"/>
  <c r="A73" i="7" l="1"/>
  <c r="F73" i="7"/>
  <c r="B73" i="7"/>
  <c r="D73" i="7" s="1"/>
  <c r="E73" i="7" s="1"/>
  <c r="A74" i="7" l="1"/>
  <c r="B74" i="7" s="1"/>
  <c r="D74" i="7" s="1"/>
  <c r="E74" i="7" s="1"/>
  <c r="F74" i="7" l="1"/>
  <c r="A75" i="7" s="1"/>
  <c r="B75" i="7" s="1"/>
  <c r="D75" i="7" s="1"/>
  <c r="E75" i="7" s="1"/>
  <c r="F75" i="7"/>
  <c r="A76" i="7" l="1"/>
  <c r="B76" i="7" s="1"/>
  <c r="D76" i="7" s="1"/>
  <c r="E76" i="7" s="1"/>
  <c r="F76" i="7"/>
  <c r="A77" i="7" l="1"/>
  <c r="B77" i="7" s="1"/>
  <c r="D77" i="7" s="1"/>
  <c r="E77" i="7" s="1"/>
  <c r="F77" i="7"/>
  <c r="A78" i="7" l="1"/>
  <c r="B78" i="7" s="1"/>
  <c r="D78" i="7" s="1"/>
  <c r="E78" i="7" s="1"/>
  <c r="F78" i="7"/>
  <c r="A79" i="7" l="1"/>
  <c r="F79" i="7" s="1"/>
  <c r="B79" i="7"/>
  <c r="D79" i="7" s="1"/>
  <c r="E79" i="7" s="1"/>
  <c r="A80" i="7" l="1"/>
  <c r="F80" i="7" l="1"/>
  <c r="B80" i="7"/>
  <c r="D80" i="7" s="1"/>
  <c r="E80" i="7" s="1"/>
  <c r="A81" i="7" l="1"/>
  <c r="F81" i="7"/>
  <c r="B81" i="7"/>
  <c r="D81" i="7" s="1"/>
  <c r="E81" i="7" s="1"/>
  <c r="A82" i="7" l="1"/>
  <c r="F82" i="7"/>
  <c r="B82" i="7"/>
  <c r="D82" i="7" s="1"/>
  <c r="E82" i="7" s="1"/>
  <c r="A83" i="7" l="1"/>
  <c r="B83" i="7" s="1"/>
  <c r="D83" i="7" s="1"/>
  <c r="E83" i="7" s="1"/>
  <c r="F83" i="7"/>
  <c r="A84" i="7" l="1"/>
  <c r="B84" i="7" s="1"/>
  <c r="D84" i="7" s="1"/>
  <c r="E84" i="7" s="1"/>
  <c r="F84" i="7"/>
  <c r="A85" i="7" l="1"/>
  <c r="F85" i="7" s="1"/>
  <c r="B85" i="7"/>
  <c r="D85" i="7" s="1"/>
  <c r="E85" i="7" s="1"/>
  <c r="A86" i="7" l="1"/>
  <c r="F86" i="7" l="1"/>
  <c r="B86" i="7"/>
  <c r="D86" i="7" s="1"/>
  <c r="E86" i="7" s="1"/>
  <c r="A87" i="7" l="1"/>
  <c r="B87" i="7" l="1"/>
  <c r="D87" i="7" s="1"/>
  <c r="E87" i="7" s="1"/>
  <c r="F87" i="7"/>
  <c r="A88" i="7" l="1"/>
  <c r="F88" i="7" l="1"/>
  <c r="B88" i="7"/>
  <c r="D88" i="7" s="1"/>
  <c r="E88" i="7" s="1"/>
  <c r="A89" i="7" l="1"/>
  <c r="F89" i="7" l="1"/>
  <c r="B89" i="7"/>
  <c r="D89" i="7" s="1"/>
  <c r="E89" i="7" s="1"/>
  <c r="A90" i="7" l="1"/>
  <c r="F90" i="7"/>
  <c r="B90" i="7"/>
  <c r="D90" i="7" s="1"/>
  <c r="E90" i="7" s="1"/>
  <c r="A91" i="7" l="1"/>
  <c r="F91" i="7"/>
  <c r="B91" i="7"/>
  <c r="D91" i="7" s="1"/>
  <c r="E91" i="7" s="1"/>
  <c r="A92" i="7" l="1"/>
  <c r="F92" i="7"/>
  <c r="B92" i="7"/>
  <c r="D92" i="7" s="1"/>
  <c r="E92" i="7" s="1"/>
  <c r="A93" i="7" l="1"/>
  <c r="B93" i="7"/>
  <c r="D93" i="7" s="1"/>
  <c r="E93" i="7" s="1"/>
  <c r="F93" i="7"/>
  <c r="A94" i="7" l="1"/>
  <c r="B94" i="7" l="1"/>
  <c r="D94" i="7" s="1"/>
  <c r="E94" i="7" s="1"/>
  <c r="F94" i="7"/>
  <c r="A95" i="7" l="1"/>
  <c r="F95" i="7" l="1"/>
  <c r="B95" i="7"/>
  <c r="D95" i="7" s="1"/>
  <c r="E95" i="7" s="1"/>
  <c r="A96" i="7" l="1"/>
  <c r="F96" i="7" s="1"/>
  <c r="B96" i="7"/>
  <c r="D96" i="7" s="1"/>
  <c r="E96" i="7" s="1"/>
  <c r="A97" i="7" l="1"/>
  <c r="B97" i="7" l="1"/>
  <c r="D97" i="7" s="1"/>
  <c r="E97" i="7" s="1"/>
  <c r="F97" i="7"/>
  <c r="A98" i="7" l="1"/>
  <c r="B98" i="7" l="1"/>
  <c r="D98" i="7" s="1"/>
  <c r="E98" i="7" s="1"/>
  <c r="F98" i="7"/>
  <c r="A99" i="7" l="1"/>
  <c r="B99" i="7" l="1"/>
  <c r="D99" i="7" s="1"/>
  <c r="E99" i="7" s="1"/>
  <c r="F99" i="7"/>
  <c r="A100" i="7" l="1"/>
  <c r="B100" i="7" l="1"/>
  <c r="D100" i="7" s="1"/>
  <c r="E100" i="7" s="1"/>
  <c r="F100" i="7"/>
  <c r="A101" i="7" l="1"/>
  <c r="F101" i="7" l="1"/>
  <c r="B101" i="7"/>
  <c r="D101" i="7" s="1"/>
  <c r="E101" i="7" s="1"/>
  <c r="A102" i="7" l="1"/>
  <c r="B102" i="7"/>
  <c r="D102" i="7" s="1"/>
  <c r="E102" i="7" s="1"/>
  <c r="F102" i="7"/>
  <c r="A103" i="7" l="1"/>
  <c r="F103" i="7" l="1"/>
  <c r="B103" i="7"/>
  <c r="D103" i="7" s="1"/>
  <c r="E103" i="7" s="1"/>
  <c r="A104" i="7" l="1"/>
  <c r="B104" i="7"/>
  <c r="D104" i="7" s="1"/>
  <c r="E104" i="7" s="1"/>
  <c r="F104" i="7"/>
  <c r="A105" i="7" l="1"/>
  <c r="B105" i="7" l="1"/>
  <c r="D105" i="7" s="1"/>
  <c r="E105" i="7" s="1"/>
  <c r="F105" i="7"/>
  <c r="A106" i="7" l="1"/>
  <c r="B106" i="7" l="1"/>
  <c r="D106" i="7" s="1"/>
  <c r="E106" i="7" s="1"/>
  <c r="F106" i="7"/>
  <c r="A107" i="7" l="1"/>
  <c r="B107" i="7" l="1"/>
  <c r="D107" i="7" s="1"/>
  <c r="E107" i="7" s="1"/>
  <c r="F107" i="7"/>
  <c r="A108" i="7" l="1"/>
  <c r="B108" i="7" l="1"/>
  <c r="D108" i="7" s="1"/>
  <c r="E108" i="7" s="1"/>
  <c r="F108" i="7"/>
  <c r="A109" i="7" l="1"/>
  <c r="F109" i="7" l="1"/>
  <c r="B109" i="7"/>
  <c r="D109" i="7" s="1"/>
  <c r="E109" i="7" s="1"/>
  <c r="A110" i="7" l="1"/>
  <c r="F110" i="7" s="1"/>
  <c r="B110" i="7"/>
  <c r="D110" i="7" s="1"/>
  <c r="E110" i="7" s="1"/>
  <c r="A111" i="7" l="1"/>
  <c r="F111" i="7" l="1"/>
  <c r="B111" i="7"/>
  <c r="D111" i="7" s="1"/>
  <c r="E111" i="7" s="1"/>
  <c r="A112" i="7" l="1"/>
  <c r="F112" i="7" s="1"/>
  <c r="B112" i="7"/>
  <c r="D112" i="7" s="1"/>
  <c r="E112" i="7" s="1"/>
  <c r="A113" i="7" l="1"/>
  <c r="B113" i="7" l="1"/>
  <c r="D113" i="7" s="1"/>
  <c r="E113" i="7" s="1"/>
  <c r="F113" i="7"/>
  <c r="A114" i="7" l="1"/>
  <c r="B114" i="7" l="1"/>
  <c r="D114" i="7" s="1"/>
  <c r="E114" i="7" s="1"/>
  <c r="F114" i="7"/>
  <c r="A115" i="7" l="1"/>
  <c r="B115" i="7" l="1"/>
  <c r="D115" i="7" s="1"/>
  <c r="E115" i="7" s="1"/>
  <c r="F115" i="7"/>
  <c r="A116" i="7" l="1"/>
  <c r="B116" i="7" s="1"/>
  <c r="D116" i="7" s="1"/>
  <c r="E116" i="7" s="1"/>
  <c r="F116" i="7" l="1"/>
  <c r="A117" i="7" s="1"/>
  <c r="F117" i="7" l="1"/>
  <c r="B117" i="7"/>
  <c r="D117" i="7" s="1"/>
  <c r="E117" i="7" s="1"/>
  <c r="A118" i="7" l="1"/>
  <c r="B118" i="7" l="1"/>
  <c r="D118" i="7" s="1"/>
  <c r="E118" i="7" s="1"/>
  <c r="F118" i="7"/>
  <c r="A119" i="7" l="1"/>
  <c r="F119" i="7" l="1"/>
  <c r="B119" i="7"/>
  <c r="D119" i="7" s="1"/>
  <c r="E119" i="7" s="1"/>
  <c r="A120" i="7" l="1"/>
  <c r="B120" i="7"/>
  <c r="D120" i="7" s="1"/>
  <c r="E120" i="7" s="1"/>
  <c r="F120" i="7"/>
  <c r="A121" i="7" l="1"/>
  <c r="B121" i="7" l="1"/>
  <c r="D121" i="7" s="1"/>
  <c r="E121" i="7" s="1"/>
  <c r="F121" i="7"/>
  <c r="A122" i="7" l="1"/>
  <c r="F122" i="7" l="1"/>
  <c r="B122" i="7"/>
  <c r="D122" i="7" s="1"/>
  <c r="E122" i="7" s="1"/>
  <c r="A123" i="7" l="1"/>
  <c r="F123" i="7"/>
  <c r="B123" i="7"/>
  <c r="D123" i="7" s="1"/>
  <c r="E123" i="7" s="1"/>
  <c r="A124" i="7" l="1"/>
  <c r="F124" i="7"/>
  <c r="B124" i="7"/>
  <c r="D124" i="7" s="1"/>
  <c r="E124" i="7" s="1"/>
  <c r="A125" i="7" l="1"/>
  <c r="F125" i="7" s="1"/>
  <c r="B125" i="7"/>
  <c r="D125" i="7" s="1"/>
  <c r="E125" i="7" s="1"/>
  <c r="A126" i="7" l="1"/>
  <c r="B126" i="7" l="1"/>
  <c r="D126" i="7" s="1"/>
  <c r="E126" i="7" s="1"/>
  <c r="F126" i="7"/>
  <c r="A127" i="7" l="1"/>
  <c r="F127" i="7" l="1"/>
  <c r="B127" i="7"/>
  <c r="D127" i="7" s="1"/>
  <c r="E127" i="7" s="1"/>
  <c r="A128" i="7" l="1"/>
  <c r="F128" i="7"/>
  <c r="B128" i="7"/>
  <c r="D128" i="7" s="1"/>
  <c r="E128" i="7" s="1"/>
  <c r="A129" i="7" l="1"/>
  <c r="B129" i="7" l="1"/>
  <c r="D129" i="7" s="1"/>
  <c r="E129" i="7" s="1"/>
  <c r="F129" i="7"/>
  <c r="A130" i="7" l="1"/>
  <c r="F130" i="7" l="1"/>
  <c r="B130" i="7"/>
  <c r="D130" i="7" s="1"/>
  <c r="E130" i="7" s="1"/>
  <c r="A131" i="7" l="1"/>
  <c r="F131" i="7"/>
  <c r="B131" i="7"/>
  <c r="D131" i="7" s="1"/>
  <c r="E131" i="7" s="1"/>
  <c r="A132" i="7" l="1"/>
  <c r="F132" i="7" s="1"/>
  <c r="B132" i="7"/>
  <c r="D132" i="7" s="1"/>
  <c r="E132" i="7" s="1"/>
  <c r="A133" i="7" l="1"/>
  <c r="B133" i="7" l="1"/>
  <c r="D133" i="7" s="1"/>
  <c r="E133" i="7" s="1"/>
  <c r="F133" i="7"/>
  <c r="A134" i="7" l="1"/>
  <c r="B134" i="7" l="1"/>
  <c r="D134" i="7" s="1"/>
  <c r="E134" i="7" s="1"/>
  <c r="F134" i="7"/>
  <c r="A135" i="7" l="1"/>
  <c r="F135" i="7" l="1"/>
  <c r="B135" i="7"/>
  <c r="D135" i="7" s="1"/>
  <c r="E135" i="7" s="1"/>
  <c r="A136" i="7" l="1"/>
  <c r="F136" i="7" l="1"/>
  <c r="B136" i="7"/>
  <c r="D136" i="7" s="1"/>
  <c r="E136" i="7" s="1"/>
  <c r="A137" i="7" l="1"/>
  <c r="B137" i="7" l="1"/>
  <c r="D137" i="7" s="1"/>
  <c r="E137" i="7" s="1"/>
  <c r="F137" i="7"/>
  <c r="A138" i="7" l="1"/>
  <c r="B138" i="7" l="1"/>
  <c r="D138" i="7" s="1"/>
  <c r="E138" i="7" s="1"/>
  <c r="F138" i="7"/>
  <c r="A139" i="7" l="1"/>
  <c r="B139" i="7" l="1"/>
  <c r="D139" i="7" s="1"/>
  <c r="E139" i="7" s="1"/>
  <c r="F139" i="7"/>
  <c r="A140" i="7" l="1"/>
  <c r="B140" i="7" l="1"/>
  <c r="D140" i="7" s="1"/>
  <c r="E140" i="7" s="1"/>
  <c r="F140" i="7"/>
  <c r="A141" i="7" l="1"/>
  <c r="B141" i="7" l="1"/>
  <c r="D141" i="7" s="1"/>
  <c r="E141" i="7" s="1"/>
  <c r="F141" i="7"/>
  <c r="A142" i="7" l="1"/>
  <c r="B142" i="7" l="1"/>
  <c r="D142" i="7" s="1"/>
  <c r="E142" i="7" s="1"/>
  <c r="F142" i="7"/>
  <c r="A143" i="7" l="1"/>
  <c r="F143" i="7" l="1"/>
  <c r="B143" i="7"/>
  <c r="D143" i="7" s="1"/>
  <c r="E143" i="7" s="1"/>
  <c r="A144" i="7"/>
  <c r="B144" i="7" l="1"/>
  <c r="D144" i="7" s="1"/>
  <c r="E144" i="7" s="1"/>
  <c r="F144" i="7"/>
  <c r="A145" i="7" l="1"/>
  <c r="B145" i="7" l="1"/>
  <c r="D145" i="7" s="1"/>
  <c r="E145" i="7" s="1"/>
  <c r="F145" i="7"/>
  <c r="A146" i="7" l="1"/>
  <c r="B146" i="7" l="1"/>
  <c r="D146" i="7" s="1"/>
  <c r="E146" i="7" s="1"/>
  <c r="F146" i="7"/>
  <c r="A147" i="7" l="1"/>
  <c r="F147" i="7" l="1"/>
  <c r="B147" i="7"/>
  <c r="D147" i="7" s="1"/>
  <c r="E147" i="7" s="1"/>
  <c r="A148" i="7" l="1"/>
  <c r="B148" i="7"/>
  <c r="D148" i="7" s="1"/>
  <c r="E148" i="7" s="1"/>
  <c r="F148" i="7"/>
  <c r="A149" i="7" l="1"/>
  <c r="B149" i="7" l="1"/>
  <c r="D149" i="7" s="1"/>
  <c r="E149" i="7" s="1"/>
  <c r="F149" i="7"/>
  <c r="A150" i="7" l="1"/>
  <c r="B150" i="7" l="1"/>
  <c r="D150" i="7" s="1"/>
  <c r="E150" i="7" s="1"/>
  <c r="F150" i="7"/>
  <c r="A151" i="7" l="1"/>
  <c r="F151" i="7" l="1"/>
  <c r="B151" i="7"/>
  <c r="D151" i="7" s="1"/>
  <c r="E151" i="7" s="1"/>
  <c r="A152" i="7" l="1"/>
  <c r="F152" i="7"/>
  <c r="B152" i="7"/>
  <c r="D152" i="7" s="1"/>
  <c r="E152" i="7" s="1"/>
  <c r="A153" i="7" l="1"/>
  <c r="B153" i="7"/>
  <c r="D153" i="7" s="1"/>
  <c r="E153" i="7" s="1"/>
  <c r="F153" i="7"/>
  <c r="A154" i="7" l="1"/>
  <c r="B154" i="7" l="1"/>
  <c r="D154" i="7" s="1"/>
  <c r="E154" i="7" s="1"/>
  <c r="F154" i="7"/>
  <c r="A155" i="7" s="1"/>
  <c r="B155" i="7" l="1"/>
  <c r="D155" i="7" s="1"/>
  <c r="E155" i="7" s="1"/>
  <c r="F155" i="7"/>
  <c r="A156" i="7" l="1"/>
  <c r="B156" i="7" l="1"/>
  <c r="D156" i="7" s="1"/>
  <c r="E156" i="7" s="1"/>
  <c r="F156" i="7"/>
  <c r="A157" i="7" l="1"/>
  <c r="B157" i="7" l="1"/>
  <c r="D157" i="7" s="1"/>
  <c r="E157" i="7" s="1"/>
  <c r="F157" i="7"/>
  <c r="A158" i="7" l="1"/>
  <c r="B158" i="7" l="1"/>
  <c r="D158" i="7" s="1"/>
  <c r="E158" i="7" s="1"/>
  <c r="F158" i="7"/>
  <c r="A159" i="7" s="1"/>
  <c r="B159" i="7" l="1"/>
  <c r="D159" i="7" s="1"/>
  <c r="E159" i="7" s="1"/>
  <c r="F159" i="7"/>
  <c r="A160" i="7" l="1"/>
  <c r="B160" i="7" l="1"/>
  <c r="D160" i="7" s="1"/>
  <c r="E160" i="7" s="1"/>
  <c r="F160" i="7"/>
  <c r="A161" i="7" l="1"/>
  <c r="B161" i="7" l="1"/>
  <c r="D161" i="7" s="1"/>
  <c r="E161" i="7" s="1"/>
  <c r="F161" i="7"/>
  <c r="A162" i="7" l="1"/>
  <c r="F162" i="7" l="1"/>
  <c r="B162" i="7"/>
  <c r="D162" i="7" s="1"/>
  <c r="E162" i="7" s="1"/>
  <c r="A163" i="7" l="1"/>
  <c r="B163" i="7"/>
  <c r="D163" i="7" s="1"/>
  <c r="E163" i="7" s="1"/>
  <c r="F163" i="7"/>
  <c r="A164" i="7" l="1"/>
  <c r="B164" i="7" l="1"/>
  <c r="D164" i="7" s="1"/>
  <c r="E164" i="7" s="1"/>
  <c r="F164" i="7"/>
  <c r="A165" i="7" l="1"/>
  <c r="B165" i="7" l="1"/>
  <c r="D165" i="7" s="1"/>
  <c r="E165" i="7" s="1"/>
  <c r="F165" i="7"/>
  <c r="A166" i="7" l="1"/>
  <c r="B166" i="7" l="1"/>
  <c r="D166" i="7" s="1"/>
  <c r="E166" i="7" s="1"/>
  <c r="F166" i="7"/>
  <c r="A167" i="7" l="1"/>
  <c r="B167" i="7" l="1"/>
  <c r="D167" i="7" s="1"/>
  <c r="E167" i="7" s="1"/>
  <c r="F167" i="7"/>
  <c r="A168" i="7" l="1"/>
  <c r="F168" i="7" l="1"/>
  <c r="B168" i="7"/>
  <c r="D168" i="7" s="1"/>
  <c r="E168" i="7" s="1"/>
  <c r="A169" i="7"/>
  <c r="B169" i="7" l="1"/>
  <c r="D169" i="7" s="1"/>
  <c r="E169" i="7" s="1"/>
  <c r="F169" i="7"/>
  <c r="A170" i="7" l="1"/>
  <c r="F170" i="7" l="1"/>
  <c r="B170" i="7"/>
  <c r="D170" i="7" s="1"/>
  <c r="E170" i="7" s="1"/>
</calcChain>
</file>

<file path=xl/sharedStrings.xml><?xml version="1.0" encoding="utf-8"?>
<sst xmlns="http://schemas.openxmlformats.org/spreadsheetml/2006/main" count="169" uniqueCount="101">
  <si>
    <t>Underlying Stocks</t>
    <phoneticPr fontId="1" type="noConversion"/>
  </si>
  <si>
    <t>S0</t>
    <phoneticPr fontId="1" type="noConversion"/>
  </si>
  <si>
    <t>K</t>
    <phoneticPr fontId="1" type="noConversion"/>
  </si>
  <si>
    <t>Rf</t>
    <phoneticPr fontId="1" type="noConversion"/>
  </si>
  <si>
    <t>volatility</t>
    <phoneticPr fontId="1" type="noConversion"/>
  </si>
  <si>
    <t>T</t>
    <phoneticPr fontId="1" type="noConversion"/>
  </si>
  <si>
    <t>u</t>
    <phoneticPr fontId="1" type="noConversion"/>
  </si>
  <si>
    <t>Option Premium</t>
    <phoneticPr fontId="1" type="noConversion"/>
  </si>
  <si>
    <t>d1</t>
    <phoneticPr fontId="1" type="noConversion"/>
  </si>
  <si>
    <t>d2</t>
    <phoneticPr fontId="1" type="noConversion"/>
  </si>
  <si>
    <t>N(d1)</t>
    <phoneticPr fontId="1" type="noConversion"/>
  </si>
  <si>
    <t>N(d2)</t>
    <phoneticPr fontId="1" type="noConversion"/>
  </si>
  <si>
    <t>c</t>
    <phoneticPr fontId="1" type="noConversion"/>
  </si>
  <si>
    <t>e</t>
    <phoneticPr fontId="1" type="noConversion"/>
  </si>
  <si>
    <t>Week</t>
    <phoneticPr fontId="1" type="noConversion"/>
  </si>
  <si>
    <t>SP</t>
    <phoneticPr fontId="1" type="noConversion"/>
  </si>
  <si>
    <t>Delta</t>
    <phoneticPr fontId="1" type="noConversion"/>
  </si>
  <si>
    <t>Shares Purchases</t>
    <phoneticPr fontId="1" type="noConversion"/>
  </si>
  <si>
    <t>Culmulative Cost</t>
    <phoneticPr fontId="1" type="noConversion"/>
  </si>
  <si>
    <t>Cost of shares purchases($000)</t>
    <phoneticPr fontId="1" type="noConversion"/>
  </si>
  <si>
    <t>Interst Cost($000)</t>
    <phoneticPr fontId="1" type="noConversion"/>
  </si>
  <si>
    <t>20 weeks</t>
    <phoneticPr fontId="1" type="noConversion"/>
  </si>
  <si>
    <t>Exercise</t>
    <phoneticPr fontId="1" type="noConversion"/>
  </si>
  <si>
    <t>Cost</t>
    <phoneticPr fontId="1" type="noConversion"/>
  </si>
  <si>
    <t>Rev</t>
    <phoneticPr fontId="1" type="noConversion"/>
  </si>
  <si>
    <t xml:space="preserve">Discounted </t>
    <phoneticPr fontId="1" type="noConversion"/>
  </si>
  <si>
    <t>Cost of Option</t>
    <phoneticPr fontId="1" type="noConversion"/>
  </si>
  <si>
    <t>BSM 期权定价模型</t>
    <phoneticPr fontId="1" type="noConversion"/>
  </si>
  <si>
    <t>期权种类</t>
    <phoneticPr fontId="1" type="noConversion"/>
  </si>
  <si>
    <t>看涨</t>
    <phoneticPr fontId="1" type="noConversion"/>
  </si>
  <si>
    <t>股票波动率</t>
    <phoneticPr fontId="1" type="noConversion"/>
  </si>
  <si>
    <t>无风险利率</t>
    <phoneticPr fontId="1" type="noConversion"/>
  </si>
  <si>
    <t>执行价格</t>
    <phoneticPr fontId="1" type="noConversion"/>
  </si>
  <si>
    <t>到期时间</t>
    <phoneticPr fontId="1" type="noConversion"/>
  </si>
  <si>
    <t>股票当前价格</t>
    <phoneticPr fontId="1" type="noConversion"/>
  </si>
  <si>
    <t>d1</t>
    <phoneticPr fontId="1" type="noConversion"/>
  </si>
  <si>
    <t>d2</t>
    <phoneticPr fontId="1" type="noConversion"/>
  </si>
  <si>
    <t>N(d1)</t>
    <phoneticPr fontId="1" type="noConversion"/>
  </si>
  <si>
    <t>N(d2)</t>
    <phoneticPr fontId="1" type="noConversion"/>
  </si>
  <si>
    <t>看涨期权价格</t>
    <phoneticPr fontId="1" type="noConversion"/>
  </si>
  <si>
    <t>N(-d1)</t>
    <phoneticPr fontId="1" type="noConversion"/>
  </si>
  <si>
    <t>N(-d2)</t>
    <phoneticPr fontId="1" type="noConversion"/>
  </si>
  <si>
    <t>看跌期权</t>
    <phoneticPr fontId="1" type="noConversion"/>
  </si>
  <si>
    <t>时间价值</t>
    <phoneticPr fontId="1" type="noConversion"/>
  </si>
  <si>
    <t>内在价值(厦大定义)</t>
    <phoneticPr fontId="1" type="noConversion"/>
  </si>
  <si>
    <t>看跌期权理论价格</t>
    <phoneticPr fontId="1" type="noConversion"/>
  </si>
  <si>
    <t>看涨期权理论价格</t>
    <phoneticPr fontId="1" type="noConversion"/>
  </si>
  <si>
    <t>股票价格</t>
    <phoneticPr fontId="1" type="noConversion"/>
  </si>
  <si>
    <t>看涨期权</t>
    <phoneticPr fontId="1" type="noConversion"/>
  </si>
  <si>
    <t>看跌期权</t>
    <phoneticPr fontId="1" type="noConversion"/>
  </si>
  <si>
    <t>隐含股票波动率</t>
    <phoneticPr fontId="1" type="noConversion"/>
  </si>
  <si>
    <t>N(d1)</t>
    <phoneticPr fontId="1" type="noConversion"/>
  </si>
  <si>
    <t>N(d2)</t>
    <phoneticPr fontId="1" type="noConversion"/>
  </si>
  <si>
    <t>猜测波动率</t>
    <phoneticPr fontId="1" type="noConversion"/>
  </si>
  <si>
    <t>计算得出的期权价格</t>
    <phoneticPr fontId="1" type="noConversion"/>
  </si>
  <si>
    <t>差异(计算-市场)</t>
    <phoneticPr fontId="1" type="noConversion"/>
  </si>
  <si>
    <t>Vega</t>
    <phoneticPr fontId="1" type="noConversion"/>
  </si>
  <si>
    <t>VegaMan</t>
    <phoneticPr fontId="1" type="noConversion"/>
  </si>
  <si>
    <t>波动率差异(计算-市场)</t>
    <phoneticPr fontId="1" type="noConversion"/>
  </si>
  <si>
    <t>NPd1</t>
    <phoneticPr fontId="1" type="noConversion"/>
  </si>
  <si>
    <t>当前价格S</t>
    <phoneticPr fontId="1" type="noConversion"/>
  </si>
  <si>
    <t>执行价格X</t>
    <phoneticPr fontId="1" type="noConversion"/>
  </si>
  <si>
    <t>无风险利率Rf</t>
    <phoneticPr fontId="1" type="noConversion"/>
  </si>
  <si>
    <t>到期时间T</t>
    <phoneticPr fontId="1" type="noConversion"/>
  </si>
  <si>
    <t>隐含波动率Sigma</t>
    <phoneticPr fontId="1" type="noConversion"/>
  </si>
  <si>
    <t>d1</t>
    <phoneticPr fontId="1" type="noConversion"/>
  </si>
  <si>
    <t>d2</t>
    <phoneticPr fontId="1" type="noConversion"/>
  </si>
  <si>
    <t>N(d1)</t>
    <phoneticPr fontId="1" type="noConversion"/>
  </si>
  <si>
    <t>N(d2)</t>
    <phoneticPr fontId="1" type="noConversion"/>
  </si>
  <si>
    <t>看涨期权价格</t>
    <phoneticPr fontId="1" type="noConversion"/>
  </si>
  <si>
    <t>无风险利率</t>
    <phoneticPr fontId="1" type="noConversion"/>
  </si>
  <si>
    <t>期权价格</t>
    <phoneticPr fontId="1" type="noConversion"/>
  </si>
  <si>
    <t>波动率</t>
    <phoneticPr fontId="1" type="noConversion"/>
  </si>
  <si>
    <t>期权价格</t>
    <phoneticPr fontId="1" type="noConversion"/>
  </si>
  <si>
    <t>vega(Therectical)</t>
    <phoneticPr fontId="1" type="noConversion"/>
  </si>
  <si>
    <t>Vega(Cal)</t>
    <phoneticPr fontId="1" type="noConversion"/>
  </si>
  <si>
    <t>5年期国债期货</t>
    <phoneticPr fontId="1" type="noConversion"/>
  </si>
  <si>
    <t>TF1609</t>
    <phoneticPr fontId="1" type="noConversion"/>
  </si>
  <si>
    <t>TF1612</t>
    <phoneticPr fontId="1" type="noConversion"/>
  </si>
  <si>
    <t>TF1703</t>
    <phoneticPr fontId="1" type="noConversion"/>
  </si>
  <si>
    <t>票面利率3%</t>
    <phoneticPr fontId="1" type="noConversion"/>
  </si>
  <si>
    <t>Year</t>
    <phoneticPr fontId="1" type="noConversion"/>
  </si>
  <si>
    <t>收益率5年</t>
    <phoneticPr fontId="1" type="noConversion"/>
  </si>
  <si>
    <t>隐含收益率</t>
    <phoneticPr fontId="1" type="noConversion"/>
  </si>
  <si>
    <t>计算价格</t>
    <phoneticPr fontId="1" type="noConversion"/>
  </si>
  <si>
    <t>实际价格</t>
    <phoneticPr fontId="1" type="noConversion"/>
  </si>
  <si>
    <t>差异</t>
    <phoneticPr fontId="1" type="noConversion"/>
  </si>
  <si>
    <t>差异比例</t>
    <phoneticPr fontId="1" type="noConversion"/>
  </si>
  <si>
    <t>Rho</t>
    <phoneticPr fontId="1" type="noConversion"/>
  </si>
  <si>
    <t>票面利率</t>
    <phoneticPr fontId="1" type="noConversion"/>
  </si>
  <si>
    <t>Mduration</t>
    <phoneticPr fontId="1" type="noConversion"/>
  </si>
  <si>
    <t>计算价格</t>
    <phoneticPr fontId="1" type="noConversion"/>
  </si>
  <si>
    <t>隐含收益率</t>
    <phoneticPr fontId="1" type="noConversion"/>
  </si>
  <si>
    <t>Adj Amount</t>
    <phoneticPr fontId="1" type="noConversion"/>
  </si>
  <si>
    <t>价格差异</t>
    <phoneticPr fontId="1" type="noConversion"/>
  </si>
  <si>
    <t>差异比例</t>
    <phoneticPr fontId="1" type="noConversion"/>
  </si>
  <si>
    <t>计算隐含收益率</t>
    <phoneticPr fontId="1" type="noConversion"/>
  </si>
  <si>
    <t>10年期国债期货</t>
    <phoneticPr fontId="1" type="noConversion"/>
  </si>
  <si>
    <t>T1609</t>
    <phoneticPr fontId="1" type="noConversion"/>
  </si>
  <si>
    <t>T1612</t>
    <phoneticPr fontId="1" type="noConversion"/>
  </si>
  <si>
    <t>T1703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</si>
</sst>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8" formatCode="&quot;¥&quot;#,##0.00;[Red]&quot;¥&quot;\-#,##0.00"/>
    <numFmt numFmtId="176" formatCode="0.0000%"/>
    <numFmt numFmtId="177" formatCode="0.000_ "/>
    <numFmt numFmtId="178" formatCode="&quot;¥&quot;#,##0.0000;[Red]&quot;¥&quot;\-#,##0.0000"/>
    <numFmt numFmtId="179" formatCode="0.00_ "/>
  </numFmts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rgb="FF333333"/>
      <name val="Arial"/>
      <family val="2"/>
    </font>
    <font>
      <b/>
      <sz val="11"/>
      <color theme="1"/>
      <name val="宋体"/>
      <family val="3"/>
      <charset val="134"/>
      <scheme val="minor"/>
    </font>
    <font>
      <sz val="9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3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9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3" fillId="4" borderId="0" xfId="0" applyFont="1" applyFill="1">
      <alignment vertical="center"/>
    </xf>
    <xf numFmtId="176" fontId="0" fillId="0" borderId="0" xfId="0" applyNumberFormat="1">
      <alignment vertical="center"/>
    </xf>
    <xf numFmtId="10" fontId="0" fillId="0" borderId="0" xfId="0" applyNumberFormat="1">
      <alignment vertical="center"/>
    </xf>
    <xf numFmtId="177" fontId="0" fillId="0" borderId="0" xfId="0" applyNumberFormat="1">
      <alignment vertical="center"/>
    </xf>
    <xf numFmtId="8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'BSM-1'!$A$7</c:f>
              <c:strCache>
                <c:ptCount val="1"/>
                <c:pt idx="0">
                  <c:v>看涨期权理论价格</c:v>
                </c:pt>
              </c:strCache>
            </c:strRef>
          </c:tx>
          <c:xVal>
            <c:numRef>
              <c:f>'BSM-1'!$B$6:$X$6</c:f>
              <c:numCache>
                <c:formatCode>General</c:formatCode>
                <c:ptCount val="2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19.399999999999999</c:v>
                </c:pt>
                <c:pt idx="10">
                  <c:v>19.41</c:v>
                </c:pt>
                <c:pt idx="11">
                  <c:v>19.420000000000002</c:v>
                </c:pt>
                <c:pt idx="12">
                  <c:v>20</c:v>
                </c:pt>
                <c:pt idx="13">
                  <c:v>22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30</c:v>
                </c:pt>
                <c:pt idx="18">
                  <c:v>32</c:v>
                </c:pt>
                <c:pt idx="19">
                  <c:v>34</c:v>
                </c:pt>
                <c:pt idx="20">
                  <c:v>36</c:v>
                </c:pt>
                <c:pt idx="21">
                  <c:v>38</c:v>
                </c:pt>
                <c:pt idx="22">
                  <c:v>40</c:v>
                </c:pt>
              </c:numCache>
            </c:numRef>
          </c:xVal>
          <c:yVal>
            <c:numRef>
              <c:f>'BSM-1'!$B$7:$X$7</c:f>
              <c:numCache>
                <c:formatCode>General</c:formatCode>
                <c:ptCount val="23"/>
                <c:pt idx="0">
                  <c:v>5.3311629910249083E-28</c:v>
                </c:pt>
                <c:pt idx="1">
                  <c:v>1.1652669556045534E-14</c:v>
                </c:pt>
                <c:pt idx="2">
                  <c:v>6.0691918809143488E-9</c:v>
                </c:pt>
                <c:pt idx="3">
                  <c:v>8.4126518201952175E-6</c:v>
                </c:pt>
                <c:pt idx="4">
                  <c:v>7.1484394367700085E-4</c:v>
                </c:pt>
                <c:pt idx="5">
                  <c:v>1.3005273757255659E-2</c:v>
                </c:pt>
                <c:pt idx="6">
                  <c:v>9.3116671947127472E-2</c:v>
                </c:pt>
                <c:pt idx="7">
                  <c:v>0.3670014579294838</c:v>
                </c:pt>
                <c:pt idx="8">
                  <c:v>0.97374705120041938</c:v>
                </c:pt>
                <c:pt idx="9">
                  <c:v>1.6346433493578214</c:v>
                </c:pt>
                <c:pt idx="10">
                  <c:v>1.6400619306114237</c:v>
                </c:pt>
                <c:pt idx="11">
                  <c:v>1.6454901462276244</c:v>
                </c:pt>
                <c:pt idx="12">
                  <c:v>1.9765334341170941</c:v>
                </c:pt>
                <c:pt idx="13">
                  <c:v>3.3394246280836128</c:v>
                </c:pt>
                <c:pt idx="14">
                  <c:v>4.9705339130141439</c:v>
                </c:pt>
                <c:pt idx="15">
                  <c:v>6.773654039364839</c:v>
                </c:pt>
                <c:pt idx="16">
                  <c:v>8.6752672335527201</c:v>
                </c:pt>
                <c:pt idx="17">
                  <c:v>10.628606993038467</c:v>
                </c:pt>
                <c:pt idx="18">
                  <c:v>12.607370989313761</c:v>
                </c:pt>
                <c:pt idx="19">
                  <c:v>14.598011261098108</c:v>
                </c:pt>
                <c:pt idx="20">
                  <c:v>16.593986697754811</c:v>
                </c:pt>
                <c:pt idx="21">
                  <c:v>18.592288341511786</c:v>
                </c:pt>
                <c:pt idx="22">
                  <c:v>20.591581552475279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'BSM-1'!$A$8</c:f>
              <c:strCache>
                <c:ptCount val="1"/>
                <c:pt idx="0">
                  <c:v>内在价值(厦大定义)</c:v>
                </c:pt>
              </c:strCache>
            </c:strRef>
          </c:tx>
          <c:xVal>
            <c:numRef>
              <c:f>'BSM-1'!$B$6:$X$6</c:f>
              <c:numCache>
                <c:formatCode>General</c:formatCode>
                <c:ptCount val="2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19.399999999999999</c:v>
                </c:pt>
                <c:pt idx="10">
                  <c:v>19.41</c:v>
                </c:pt>
                <c:pt idx="11">
                  <c:v>19.420000000000002</c:v>
                </c:pt>
                <c:pt idx="12">
                  <c:v>20</c:v>
                </c:pt>
                <c:pt idx="13">
                  <c:v>22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30</c:v>
                </c:pt>
                <c:pt idx="18">
                  <c:v>32</c:v>
                </c:pt>
                <c:pt idx="19">
                  <c:v>34</c:v>
                </c:pt>
                <c:pt idx="20">
                  <c:v>36</c:v>
                </c:pt>
                <c:pt idx="21">
                  <c:v>38</c:v>
                </c:pt>
                <c:pt idx="22">
                  <c:v>40</c:v>
                </c:pt>
              </c:numCache>
            </c:numRef>
          </c:xVal>
          <c:yVal>
            <c:numRef>
              <c:f>'BSM-1'!$B$8:$X$8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1.0893290298383818E-3</c:v>
                </c:pt>
                <c:pt idx="11">
                  <c:v>1.1089329029839945E-2</c:v>
                </c:pt>
                <c:pt idx="12">
                  <c:v>0.59108932902983824</c:v>
                </c:pt>
                <c:pt idx="13">
                  <c:v>2.5910893290298382</c:v>
                </c:pt>
                <c:pt idx="14">
                  <c:v>4.5910893290298382</c:v>
                </c:pt>
                <c:pt idx="15">
                  <c:v>6.5910893290298382</c:v>
                </c:pt>
                <c:pt idx="16">
                  <c:v>8.5910893290298382</c:v>
                </c:pt>
                <c:pt idx="17">
                  <c:v>10.591089329029838</c:v>
                </c:pt>
                <c:pt idx="18">
                  <c:v>12.591089329029838</c:v>
                </c:pt>
                <c:pt idx="19">
                  <c:v>14.591089329029838</c:v>
                </c:pt>
                <c:pt idx="20">
                  <c:v>16.591089329029838</c:v>
                </c:pt>
                <c:pt idx="21">
                  <c:v>18.591089329029838</c:v>
                </c:pt>
                <c:pt idx="22">
                  <c:v>20.591089329029838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904064"/>
        <c:axId val="260905600"/>
      </c:scatterChart>
      <c:valAx>
        <c:axId val="26090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0905600"/>
        <c:crosses val="autoZero"/>
        <c:crossBetween val="midCat"/>
      </c:valAx>
      <c:valAx>
        <c:axId val="26090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9040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3"/>
          <c:order val="0"/>
          <c:tx>
            <c:strRef>
              <c:f>'BSM-1'!$A$10</c:f>
              <c:strCache>
                <c:ptCount val="1"/>
                <c:pt idx="0">
                  <c:v>看跌期权理论价格</c:v>
                </c:pt>
              </c:strCache>
            </c:strRef>
          </c:tx>
          <c:xVal>
            <c:numRef>
              <c:f>'BSM-1'!$B$6:$X$6</c:f>
              <c:numCache>
                <c:formatCode>General</c:formatCode>
                <c:ptCount val="2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19.399999999999999</c:v>
                </c:pt>
                <c:pt idx="10">
                  <c:v>19.41</c:v>
                </c:pt>
                <c:pt idx="11">
                  <c:v>19.420000000000002</c:v>
                </c:pt>
                <c:pt idx="12">
                  <c:v>20</c:v>
                </c:pt>
                <c:pt idx="13">
                  <c:v>22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30</c:v>
                </c:pt>
                <c:pt idx="18">
                  <c:v>32</c:v>
                </c:pt>
                <c:pt idx="19">
                  <c:v>34</c:v>
                </c:pt>
                <c:pt idx="20">
                  <c:v>36</c:v>
                </c:pt>
                <c:pt idx="21">
                  <c:v>38</c:v>
                </c:pt>
                <c:pt idx="22">
                  <c:v>40</c:v>
                </c:pt>
              </c:numCache>
            </c:numRef>
          </c:xVal>
          <c:yVal>
            <c:numRef>
              <c:f>'BSM-1'!$B$10:$X$10</c:f>
              <c:numCache>
                <c:formatCode>General</c:formatCode>
                <c:ptCount val="23"/>
                <c:pt idx="0">
                  <c:v>17.408910670970162</c:v>
                </c:pt>
                <c:pt idx="1">
                  <c:v>15.408910670970172</c:v>
                </c:pt>
                <c:pt idx="2">
                  <c:v>13.408910677039353</c:v>
                </c:pt>
                <c:pt idx="3">
                  <c:v>11.408919083621981</c:v>
                </c:pt>
                <c:pt idx="4">
                  <c:v>9.4096255149138379</c:v>
                </c:pt>
                <c:pt idx="5">
                  <c:v>7.4219159447274183</c:v>
                </c:pt>
                <c:pt idx="6">
                  <c:v>5.502027342917291</c:v>
                </c:pt>
                <c:pt idx="7">
                  <c:v>3.7759121288996482</c:v>
                </c:pt>
                <c:pt idx="8">
                  <c:v>2.3826577221705811</c:v>
                </c:pt>
                <c:pt idx="9">
                  <c:v>1.6435540203279846</c:v>
                </c:pt>
                <c:pt idx="10">
                  <c:v>1.6389726015815853</c:v>
                </c:pt>
                <c:pt idx="11">
                  <c:v>1.6344008171977844</c:v>
                </c:pt>
                <c:pt idx="12">
                  <c:v>1.3854441050872559</c:v>
                </c:pt>
                <c:pt idx="13">
                  <c:v>0.74833529905377283</c:v>
                </c:pt>
                <c:pt idx="14">
                  <c:v>0.37944458398430747</c:v>
                </c:pt>
                <c:pt idx="15">
                  <c:v>0.18256471033499855</c:v>
                </c:pt>
                <c:pt idx="16">
                  <c:v>8.4177904522880542E-2</c:v>
                </c:pt>
                <c:pt idx="17">
                  <c:v>3.7517664008626439E-2</c:v>
                </c:pt>
                <c:pt idx="18">
                  <c:v>1.6281660283923E-2</c:v>
                </c:pt>
                <c:pt idx="19">
                  <c:v>6.9219320682656071E-3</c:v>
                </c:pt>
                <c:pt idx="20">
                  <c:v>2.897368724974668E-3</c:v>
                </c:pt>
                <c:pt idx="21">
                  <c:v>1.1990124819496635E-3</c:v>
                </c:pt>
                <c:pt idx="22">
                  <c:v>-4.9222344544187085E-4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'BSM-1'!$A$11</c:f>
              <c:strCache>
                <c:ptCount val="1"/>
                <c:pt idx="0">
                  <c:v>内在价值(厦大定义)</c:v>
                </c:pt>
              </c:strCache>
            </c:strRef>
          </c:tx>
          <c:xVal>
            <c:numRef>
              <c:f>'BSM-1'!$B$6:$X$6</c:f>
              <c:numCache>
                <c:formatCode>General</c:formatCode>
                <c:ptCount val="2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19.399999999999999</c:v>
                </c:pt>
                <c:pt idx="10">
                  <c:v>19.41</c:v>
                </c:pt>
                <c:pt idx="11">
                  <c:v>19.420000000000002</c:v>
                </c:pt>
                <c:pt idx="12">
                  <c:v>20</c:v>
                </c:pt>
                <c:pt idx="13">
                  <c:v>22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30</c:v>
                </c:pt>
                <c:pt idx="18">
                  <c:v>32</c:v>
                </c:pt>
                <c:pt idx="19">
                  <c:v>34</c:v>
                </c:pt>
                <c:pt idx="20">
                  <c:v>36</c:v>
                </c:pt>
                <c:pt idx="21">
                  <c:v>38</c:v>
                </c:pt>
                <c:pt idx="22">
                  <c:v>40</c:v>
                </c:pt>
              </c:numCache>
            </c:numRef>
          </c:xVal>
          <c:yVal>
            <c:numRef>
              <c:f>'BSM-1'!$B$11:$X$11</c:f>
              <c:numCache>
                <c:formatCode>General</c:formatCode>
                <c:ptCount val="23"/>
                <c:pt idx="0">
                  <c:v>17.408910670970162</c:v>
                </c:pt>
                <c:pt idx="1">
                  <c:v>15.408910670970162</c:v>
                </c:pt>
                <c:pt idx="2">
                  <c:v>13.408910670970162</c:v>
                </c:pt>
                <c:pt idx="3">
                  <c:v>11.408910670970162</c:v>
                </c:pt>
                <c:pt idx="4">
                  <c:v>9.4089106709701618</c:v>
                </c:pt>
                <c:pt idx="5">
                  <c:v>7.4089106709701618</c:v>
                </c:pt>
                <c:pt idx="6">
                  <c:v>5.4089106709701618</c:v>
                </c:pt>
                <c:pt idx="7">
                  <c:v>3.4089106709701618</c:v>
                </c:pt>
                <c:pt idx="8">
                  <c:v>1.4089106709701618</c:v>
                </c:pt>
                <c:pt idx="9">
                  <c:v>8.9106709701631814E-3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963328"/>
        <c:axId val="261038848"/>
      </c:scatterChart>
      <c:valAx>
        <c:axId val="260963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1038848"/>
        <c:crosses val="autoZero"/>
        <c:crossBetween val="midCat"/>
      </c:valAx>
      <c:valAx>
        <c:axId val="261038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9633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113517060367457E-2"/>
          <c:y val="7.4548702245552628E-2"/>
          <c:w val="0.86642825896762909"/>
          <c:h val="0.8326195683872849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'BSM-Greeks'!$A$15:$A$29</c:f>
              <c:numCache>
                <c:formatCode>0%</c:formatCode>
                <c:ptCount val="1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6.9999999999999993E-2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</c:numCache>
            </c:numRef>
          </c:xVal>
          <c:yVal>
            <c:numRef>
              <c:f>'BSM-Greeks'!$B$15:$B$29</c:f>
              <c:numCache>
                <c:formatCode>General</c:formatCode>
                <c:ptCount val="15"/>
                <c:pt idx="0">
                  <c:v>2.080707830599323</c:v>
                </c:pt>
                <c:pt idx="1">
                  <c:v>2.1741116981115187</c:v>
                </c:pt>
                <c:pt idx="2">
                  <c:v>2.2696953650287064</c:v>
                </c:pt>
                <c:pt idx="3">
                  <c:v>2.367409288164815</c:v>
                </c:pt>
                <c:pt idx="4">
                  <c:v>2.467199786073742</c:v>
                </c:pt>
                <c:pt idx="5">
                  <c:v>2.5690092323445519</c:v>
                </c:pt>
                <c:pt idx="6">
                  <c:v>2.6727762666020265</c:v>
                </c:pt>
                <c:pt idx="7">
                  <c:v>2.7784360217077104</c:v>
                </c:pt>
                <c:pt idx="8">
                  <c:v>2.8859203655433188</c:v>
                </c:pt>
                <c:pt idx="9">
                  <c:v>2.99515815566226</c:v>
                </c:pt>
                <c:pt idx="10">
                  <c:v>3.1060755050161006</c:v>
                </c:pt>
                <c:pt idx="11">
                  <c:v>3.2185960569024363</c:v>
                </c:pt>
                <c:pt idx="12">
                  <c:v>3.3326412672384969</c:v>
                </c:pt>
                <c:pt idx="13">
                  <c:v>3.4481306922418522</c:v>
                </c:pt>
                <c:pt idx="14">
                  <c:v>3.5649822795947799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61664"/>
        <c:axId val="261763456"/>
      </c:scatterChart>
      <c:valAx>
        <c:axId val="261761664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261763456"/>
        <c:crosses val="autoZero"/>
        <c:crossBetween val="midCat"/>
      </c:valAx>
      <c:valAx>
        <c:axId val="261763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1761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891294838145233E-2"/>
          <c:y val="7.4548702245552642E-2"/>
          <c:w val="0.86642825896762909"/>
          <c:h val="0.8326195683872849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'BSM-Greeks'!$E$15:$E$39</c:f>
              <c:numCache>
                <c:formatCode>0%</c:formatCode>
                <c:ptCount val="2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6.9999999999999993E-2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0.15000000000000002</c:v>
                </c:pt>
                <c:pt idx="15">
                  <c:v>0.16</c:v>
                </c:pt>
                <c:pt idx="16">
                  <c:v>0.17</c:v>
                </c:pt>
                <c:pt idx="17">
                  <c:v>0.18000000000000002</c:v>
                </c:pt>
                <c:pt idx="18">
                  <c:v>0.19</c:v>
                </c:pt>
                <c:pt idx="19">
                  <c:v>0.2</c:v>
                </c:pt>
                <c:pt idx="20">
                  <c:v>0.21000000000000002</c:v>
                </c:pt>
                <c:pt idx="21">
                  <c:v>0.22</c:v>
                </c:pt>
                <c:pt idx="22">
                  <c:v>0.23</c:v>
                </c:pt>
                <c:pt idx="23">
                  <c:v>0.24000000000000002</c:v>
                </c:pt>
                <c:pt idx="24">
                  <c:v>0.25</c:v>
                </c:pt>
              </c:numCache>
            </c:numRef>
          </c:xVal>
          <c:yVal>
            <c:numRef>
              <c:f>'BSM-Greeks'!$F$15:$F$39</c:f>
              <c:numCache>
                <c:formatCode>General</c:formatCode>
                <c:ptCount val="25"/>
                <c:pt idx="0">
                  <c:v>0.5911646211712025</c:v>
                </c:pt>
                <c:pt idx="1">
                  <c:v>0.6026371004782618</c:v>
                </c:pt>
                <c:pt idx="2">
                  <c:v>0.6403308514723669</c:v>
                </c:pt>
                <c:pt idx="3">
                  <c:v>0.6944486622181234</c:v>
                </c:pt>
                <c:pt idx="4">
                  <c:v>0.75722289127642561</c:v>
                </c:pt>
                <c:pt idx="5">
                  <c:v>0.82485777727572795</c:v>
                </c:pt>
                <c:pt idx="6">
                  <c:v>0.89543813557224361</c:v>
                </c:pt>
                <c:pt idx="7">
                  <c:v>0.96792000132495914</c:v>
                </c:pt>
                <c:pt idx="8">
                  <c:v>1.0416923106530316</c:v>
                </c:pt>
                <c:pt idx="9">
                  <c:v>1.1163754301877464</c:v>
                </c:pt>
                <c:pt idx="10">
                  <c:v>1.1917215888387052</c:v>
                </c:pt>
                <c:pt idx="11">
                  <c:v>1.267562288722246</c:v>
                </c:pt>
                <c:pt idx="12">
                  <c:v>1.3437788886413404</c:v>
                </c:pt>
                <c:pt idx="13">
                  <c:v>1.4202853235308321</c:v>
                </c:pt>
                <c:pt idx="14">
                  <c:v>1.4970175187825241</c:v>
                </c:pt>
                <c:pt idx="15">
                  <c:v>1.5739266675379309</c:v>
                </c:pt>
                <c:pt idx="16">
                  <c:v>1.6509748255357479</c:v>
                </c:pt>
                <c:pt idx="17">
                  <c:v>1.7281319444950913</c:v>
                </c:pt>
                <c:pt idx="18">
                  <c:v>1.8053738255313032</c:v>
                </c:pt>
                <c:pt idx="19">
                  <c:v>1.8826806767706028</c:v>
                </c:pt>
                <c:pt idx="20">
                  <c:v>1.9600360772111589</c:v>
                </c:pt>
                <c:pt idx="21">
                  <c:v>2.0374262195572808</c:v>
                </c:pt>
                <c:pt idx="22">
                  <c:v>2.1148393483010341</c:v>
                </c:pt>
                <c:pt idx="23">
                  <c:v>2.1922653368221123</c:v>
                </c:pt>
                <c:pt idx="24">
                  <c:v>2.2696953650287064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74720"/>
        <c:axId val="261784704"/>
      </c:scatterChart>
      <c:valAx>
        <c:axId val="261774720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261784704"/>
        <c:crosses val="autoZero"/>
        <c:crossBetween val="midCat"/>
      </c:valAx>
      <c:valAx>
        <c:axId val="261784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1774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955796150481188"/>
          <c:y val="7.4548702245552628E-2"/>
          <c:w val="0.67919903762029743"/>
          <c:h val="0.8326195683872849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'BSM-Greeks'!$J$15:$J$160</c:f>
              <c:numCache>
                <c:formatCode>0.00%</c:formatCode>
                <c:ptCount val="146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1.8000000000000002E-2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2.6000000000000002E-2</c:v>
                </c:pt>
                <c:pt idx="9">
                  <c:v>2.8000000000000004E-2</c:v>
                </c:pt>
                <c:pt idx="10">
                  <c:v>0.03</c:v>
                </c:pt>
                <c:pt idx="11">
                  <c:v>3.2000000000000001E-2</c:v>
                </c:pt>
                <c:pt idx="12">
                  <c:v>3.4000000000000002E-2</c:v>
                </c:pt>
                <c:pt idx="13">
                  <c:v>3.6000000000000004E-2</c:v>
                </c:pt>
                <c:pt idx="14">
                  <c:v>3.7999999999999999E-2</c:v>
                </c:pt>
                <c:pt idx="15">
                  <c:v>0.04</c:v>
                </c:pt>
                <c:pt idx="16">
                  <c:v>4.2000000000000003E-2</c:v>
                </c:pt>
                <c:pt idx="17">
                  <c:v>4.4000000000000004E-2</c:v>
                </c:pt>
                <c:pt idx="18">
                  <c:v>4.6000000000000006E-2</c:v>
                </c:pt>
                <c:pt idx="19">
                  <c:v>4.8000000000000001E-2</c:v>
                </c:pt>
                <c:pt idx="20">
                  <c:v>0.05</c:v>
                </c:pt>
                <c:pt idx="21">
                  <c:v>5.2000000000000005E-2</c:v>
                </c:pt>
                <c:pt idx="22">
                  <c:v>5.3999999999999999E-2</c:v>
                </c:pt>
                <c:pt idx="23">
                  <c:v>5.6000000000000001E-2</c:v>
                </c:pt>
                <c:pt idx="24">
                  <c:v>5.8000000000000003E-2</c:v>
                </c:pt>
                <c:pt idx="25">
                  <c:v>6.0000000000000005E-2</c:v>
                </c:pt>
                <c:pt idx="26">
                  <c:v>6.2000000000000006E-2</c:v>
                </c:pt>
                <c:pt idx="27">
                  <c:v>6.4000000000000001E-2</c:v>
                </c:pt>
                <c:pt idx="28">
                  <c:v>6.6000000000000003E-2</c:v>
                </c:pt>
                <c:pt idx="29">
                  <c:v>6.8000000000000005E-2</c:v>
                </c:pt>
                <c:pt idx="30">
                  <c:v>6.9999999999999993E-2</c:v>
                </c:pt>
                <c:pt idx="31">
                  <c:v>7.1999999999999995E-2</c:v>
                </c:pt>
                <c:pt idx="32">
                  <c:v>7.3999999999999996E-2</c:v>
                </c:pt>
                <c:pt idx="33">
                  <c:v>7.5999999999999998E-2</c:v>
                </c:pt>
                <c:pt idx="34">
                  <c:v>7.8E-2</c:v>
                </c:pt>
                <c:pt idx="35">
                  <c:v>0.08</c:v>
                </c:pt>
                <c:pt idx="36">
                  <c:v>8.2000000000000003E-2</c:v>
                </c:pt>
                <c:pt idx="37">
                  <c:v>8.3999999999999991E-2</c:v>
                </c:pt>
                <c:pt idx="38">
                  <c:v>8.5999999999999993E-2</c:v>
                </c:pt>
                <c:pt idx="39">
                  <c:v>8.7999999999999995E-2</c:v>
                </c:pt>
                <c:pt idx="40">
                  <c:v>0.09</c:v>
                </c:pt>
                <c:pt idx="41">
                  <c:v>9.1999999999999998E-2</c:v>
                </c:pt>
                <c:pt idx="42">
                  <c:v>9.4E-2</c:v>
                </c:pt>
                <c:pt idx="43">
                  <c:v>9.6000000000000002E-2</c:v>
                </c:pt>
                <c:pt idx="44">
                  <c:v>9.799999999999999E-2</c:v>
                </c:pt>
                <c:pt idx="45">
                  <c:v>9.9999999999999992E-2</c:v>
                </c:pt>
                <c:pt idx="46">
                  <c:v>0.10199999999999999</c:v>
                </c:pt>
                <c:pt idx="47">
                  <c:v>0.104</c:v>
                </c:pt>
                <c:pt idx="48">
                  <c:v>0.106</c:v>
                </c:pt>
                <c:pt idx="49">
                  <c:v>0.108</c:v>
                </c:pt>
                <c:pt idx="50">
                  <c:v>0.11</c:v>
                </c:pt>
                <c:pt idx="51">
                  <c:v>0.112</c:v>
                </c:pt>
                <c:pt idx="52">
                  <c:v>0.114</c:v>
                </c:pt>
                <c:pt idx="53">
                  <c:v>0.11599999999999999</c:v>
                </c:pt>
                <c:pt idx="54">
                  <c:v>0.11799999999999999</c:v>
                </c:pt>
                <c:pt idx="55">
                  <c:v>0.12</c:v>
                </c:pt>
                <c:pt idx="56">
                  <c:v>0.122</c:v>
                </c:pt>
                <c:pt idx="57">
                  <c:v>0.124</c:v>
                </c:pt>
                <c:pt idx="58">
                  <c:v>0.126</c:v>
                </c:pt>
                <c:pt idx="59">
                  <c:v>0.128</c:v>
                </c:pt>
                <c:pt idx="60">
                  <c:v>0.13</c:v>
                </c:pt>
                <c:pt idx="61">
                  <c:v>0.13200000000000001</c:v>
                </c:pt>
                <c:pt idx="62">
                  <c:v>0.13400000000000001</c:v>
                </c:pt>
                <c:pt idx="63">
                  <c:v>0.13600000000000001</c:v>
                </c:pt>
                <c:pt idx="64">
                  <c:v>0.13800000000000001</c:v>
                </c:pt>
                <c:pt idx="65">
                  <c:v>0.14000000000000001</c:v>
                </c:pt>
                <c:pt idx="66">
                  <c:v>0.14200000000000002</c:v>
                </c:pt>
                <c:pt idx="67">
                  <c:v>0.14400000000000002</c:v>
                </c:pt>
                <c:pt idx="68">
                  <c:v>0.14600000000000002</c:v>
                </c:pt>
                <c:pt idx="69">
                  <c:v>0.14800000000000002</c:v>
                </c:pt>
                <c:pt idx="70">
                  <c:v>0.15000000000000002</c:v>
                </c:pt>
                <c:pt idx="71">
                  <c:v>0.15200000000000002</c:v>
                </c:pt>
                <c:pt idx="72">
                  <c:v>0.15400000000000003</c:v>
                </c:pt>
                <c:pt idx="73">
                  <c:v>0.156</c:v>
                </c:pt>
                <c:pt idx="74">
                  <c:v>0.158</c:v>
                </c:pt>
                <c:pt idx="75">
                  <c:v>0.16</c:v>
                </c:pt>
                <c:pt idx="76">
                  <c:v>0.16200000000000001</c:v>
                </c:pt>
                <c:pt idx="77">
                  <c:v>0.16400000000000001</c:v>
                </c:pt>
                <c:pt idx="78">
                  <c:v>0.16600000000000001</c:v>
                </c:pt>
                <c:pt idx="79">
                  <c:v>0.16800000000000001</c:v>
                </c:pt>
                <c:pt idx="80">
                  <c:v>0.17</c:v>
                </c:pt>
                <c:pt idx="81">
                  <c:v>0.17200000000000001</c:v>
                </c:pt>
                <c:pt idx="82">
                  <c:v>0.17400000000000002</c:v>
                </c:pt>
                <c:pt idx="83">
                  <c:v>0.17600000000000002</c:v>
                </c:pt>
                <c:pt idx="84">
                  <c:v>0.17800000000000002</c:v>
                </c:pt>
                <c:pt idx="85">
                  <c:v>0.18000000000000002</c:v>
                </c:pt>
                <c:pt idx="86">
                  <c:v>0.18200000000000002</c:v>
                </c:pt>
                <c:pt idx="87">
                  <c:v>0.18400000000000002</c:v>
                </c:pt>
                <c:pt idx="88">
                  <c:v>0.186</c:v>
                </c:pt>
                <c:pt idx="89">
                  <c:v>0.188</c:v>
                </c:pt>
                <c:pt idx="90">
                  <c:v>0.19</c:v>
                </c:pt>
                <c:pt idx="91">
                  <c:v>0.192</c:v>
                </c:pt>
                <c:pt idx="92">
                  <c:v>0.19400000000000001</c:v>
                </c:pt>
                <c:pt idx="93">
                  <c:v>0.19600000000000001</c:v>
                </c:pt>
                <c:pt idx="94">
                  <c:v>0.19800000000000001</c:v>
                </c:pt>
                <c:pt idx="95">
                  <c:v>0.2</c:v>
                </c:pt>
                <c:pt idx="96">
                  <c:v>0.20200000000000001</c:v>
                </c:pt>
                <c:pt idx="97">
                  <c:v>0.20400000000000001</c:v>
                </c:pt>
                <c:pt idx="98">
                  <c:v>0.20600000000000002</c:v>
                </c:pt>
                <c:pt idx="99">
                  <c:v>0.20800000000000002</c:v>
                </c:pt>
                <c:pt idx="100">
                  <c:v>0.21000000000000002</c:v>
                </c:pt>
                <c:pt idx="101">
                  <c:v>0.21200000000000002</c:v>
                </c:pt>
                <c:pt idx="102">
                  <c:v>0.21400000000000002</c:v>
                </c:pt>
                <c:pt idx="103">
                  <c:v>0.21600000000000003</c:v>
                </c:pt>
                <c:pt idx="104">
                  <c:v>0.21800000000000003</c:v>
                </c:pt>
                <c:pt idx="105">
                  <c:v>0.22</c:v>
                </c:pt>
                <c:pt idx="106">
                  <c:v>0.222</c:v>
                </c:pt>
                <c:pt idx="107">
                  <c:v>0.224</c:v>
                </c:pt>
                <c:pt idx="108">
                  <c:v>0.22600000000000001</c:v>
                </c:pt>
                <c:pt idx="109">
                  <c:v>0.22800000000000001</c:v>
                </c:pt>
                <c:pt idx="110">
                  <c:v>0.23</c:v>
                </c:pt>
                <c:pt idx="111">
                  <c:v>0.23200000000000001</c:v>
                </c:pt>
                <c:pt idx="112">
                  <c:v>0.23400000000000001</c:v>
                </c:pt>
                <c:pt idx="113">
                  <c:v>0.23600000000000002</c:v>
                </c:pt>
                <c:pt idx="114">
                  <c:v>0.23800000000000002</c:v>
                </c:pt>
                <c:pt idx="115">
                  <c:v>0.24000000000000002</c:v>
                </c:pt>
                <c:pt idx="116">
                  <c:v>0.24200000000000002</c:v>
                </c:pt>
                <c:pt idx="117">
                  <c:v>0.24400000000000002</c:v>
                </c:pt>
                <c:pt idx="118">
                  <c:v>0.24600000000000002</c:v>
                </c:pt>
                <c:pt idx="119">
                  <c:v>0.24800000000000003</c:v>
                </c:pt>
                <c:pt idx="120">
                  <c:v>0.25</c:v>
                </c:pt>
                <c:pt idx="121">
                  <c:v>0.252</c:v>
                </c:pt>
                <c:pt idx="122">
                  <c:v>0.254</c:v>
                </c:pt>
                <c:pt idx="123">
                  <c:v>0.25600000000000001</c:v>
                </c:pt>
                <c:pt idx="124">
                  <c:v>0.25800000000000001</c:v>
                </c:pt>
                <c:pt idx="125">
                  <c:v>0.26</c:v>
                </c:pt>
                <c:pt idx="126">
                  <c:v>0.26200000000000001</c:v>
                </c:pt>
                <c:pt idx="127">
                  <c:v>0.26400000000000001</c:v>
                </c:pt>
                <c:pt idx="128">
                  <c:v>0.26600000000000001</c:v>
                </c:pt>
                <c:pt idx="129">
                  <c:v>0.26800000000000002</c:v>
                </c:pt>
                <c:pt idx="130">
                  <c:v>0.27</c:v>
                </c:pt>
                <c:pt idx="131">
                  <c:v>0.27200000000000002</c:v>
                </c:pt>
                <c:pt idx="132">
                  <c:v>0.27400000000000002</c:v>
                </c:pt>
                <c:pt idx="133">
                  <c:v>0.27600000000000002</c:v>
                </c:pt>
                <c:pt idx="134">
                  <c:v>0.27800000000000002</c:v>
                </c:pt>
                <c:pt idx="135">
                  <c:v>0.28000000000000003</c:v>
                </c:pt>
                <c:pt idx="136">
                  <c:v>0.28200000000000003</c:v>
                </c:pt>
                <c:pt idx="137">
                  <c:v>0.28400000000000003</c:v>
                </c:pt>
                <c:pt idx="138">
                  <c:v>0.28600000000000003</c:v>
                </c:pt>
                <c:pt idx="139">
                  <c:v>0.28800000000000003</c:v>
                </c:pt>
                <c:pt idx="140">
                  <c:v>0.29000000000000004</c:v>
                </c:pt>
                <c:pt idx="141">
                  <c:v>0.29200000000000004</c:v>
                </c:pt>
                <c:pt idx="142">
                  <c:v>0.29400000000000004</c:v>
                </c:pt>
                <c:pt idx="143">
                  <c:v>0.29600000000000004</c:v>
                </c:pt>
                <c:pt idx="144">
                  <c:v>0.29800000000000004</c:v>
                </c:pt>
                <c:pt idx="145">
                  <c:v>0.3</c:v>
                </c:pt>
              </c:numCache>
            </c:numRef>
          </c:xVal>
          <c:yVal>
            <c:numRef>
              <c:f>'BSM-Greeks'!$K$15:$K$160</c:f>
              <c:numCache>
                <c:formatCode>General</c:formatCode>
                <c:ptCount val="146"/>
                <c:pt idx="0">
                  <c:v>0.5911646211712025</c:v>
                </c:pt>
                <c:pt idx="1">
                  <c:v>0.5915631538049233</c:v>
                </c:pt>
                <c:pt idx="2">
                  <c:v>0.59267309311724148</c:v>
                </c:pt>
                <c:pt idx="3">
                  <c:v>0.59480684392035954</c:v>
                </c:pt>
                <c:pt idx="4">
                  <c:v>0.59812041064379073</c:v>
                </c:pt>
                <c:pt idx="5">
                  <c:v>0.6026371004782618</c:v>
                </c:pt>
                <c:pt idx="6">
                  <c:v>0.60829888808918753</c:v>
                </c:pt>
                <c:pt idx="7">
                  <c:v>0.61500834269556748</c:v>
                </c:pt>
                <c:pt idx="8">
                  <c:v>0.62265496358074657</c:v>
                </c:pt>
                <c:pt idx="9">
                  <c:v>0.63112951242159809</c:v>
                </c:pt>
                <c:pt idx="10">
                  <c:v>0.6403308514723669</c:v>
                </c:pt>
                <c:pt idx="11">
                  <c:v>0.65016856382762356</c:v>
                </c:pt>
                <c:pt idx="12">
                  <c:v>0.66056337266008747</c:v>
                </c:pt>
                <c:pt idx="13">
                  <c:v>0.67144650647414394</c:v>
                </c:pt>
                <c:pt idx="14">
                  <c:v>0.68275863026564387</c:v>
                </c:pt>
                <c:pt idx="15">
                  <c:v>0.6944486622181234</c:v>
                </c:pt>
                <c:pt idx="16">
                  <c:v>0.70647263073610134</c:v>
                </c:pt>
                <c:pt idx="17">
                  <c:v>0.7187926387510597</c:v>
                </c:pt>
                <c:pt idx="18">
                  <c:v>0.73137595691750867</c:v>
                </c:pt>
                <c:pt idx="19">
                  <c:v>0.74419424506377219</c:v>
                </c:pt>
                <c:pt idx="20">
                  <c:v>0.75722289127642561</c:v>
                </c:pt>
                <c:pt idx="21">
                  <c:v>0.77044045437333075</c:v>
                </c:pt>
                <c:pt idx="22">
                  <c:v>0.78382819506421875</c:v>
                </c:pt>
                <c:pt idx="23">
                  <c:v>0.79736968210701242</c:v>
                </c:pt>
                <c:pt idx="24">
                  <c:v>0.81105046135197689</c:v>
                </c:pt>
                <c:pt idx="25">
                  <c:v>0.82485777727572795</c:v>
                </c:pt>
                <c:pt idx="26">
                  <c:v>0.83878033822954734</c:v>
                </c:pt>
                <c:pt idx="27">
                  <c:v>0.85280811807319346</c:v>
                </c:pt>
                <c:pt idx="28">
                  <c:v>0.86693218811135964</c:v>
                </c:pt>
                <c:pt idx="29">
                  <c:v>0.88114457430085125</c:v>
                </c:pt>
                <c:pt idx="30">
                  <c:v>0.89543813557224361</c:v>
                </c:pt>
                <c:pt idx="31">
                  <c:v>0.90980645983354336</c:v>
                </c:pt>
                <c:pt idx="32">
                  <c:v>0.92424377481869158</c:v>
                </c:pt>
                <c:pt idx="33">
                  <c:v>0.93874487143284568</c:v>
                </c:pt>
                <c:pt idx="34">
                  <c:v>0.95330503764717101</c:v>
                </c:pt>
                <c:pt idx="35">
                  <c:v>0.96792000132495914</c:v>
                </c:pt>
                <c:pt idx="36">
                  <c:v>0.98258588063074015</c:v>
                </c:pt>
                <c:pt idx="37">
                  <c:v>0.99729914089649441</c:v>
                </c:pt>
                <c:pt idx="38">
                  <c:v>1.0120565570017259</c:v>
                </c:pt>
                <c:pt idx="39">
                  <c:v>1.0268551804754384</c:v>
                </c:pt>
                <c:pt idx="40">
                  <c:v>1.0416923106530316</c:v>
                </c:pt>
                <c:pt idx="41">
                  <c:v>1.0565654693248288</c:v>
                </c:pt>
                <c:pt idx="42">
                  <c:v>1.0714723783993403</c:v>
                </c:pt>
                <c:pt idx="43">
                  <c:v>1.0864109401761688</c:v>
                </c:pt>
                <c:pt idx="44">
                  <c:v>1.101379219883782</c:v>
                </c:pt>
                <c:pt idx="45">
                  <c:v>1.1163754301877464</c:v>
                </c:pt>
                <c:pt idx="46">
                  <c:v>1.1313979174174875</c:v>
                </c:pt>
                <c:pt idx="47">
                  <c:v>1.146445149295328</c:v>
                </c:pt>
                <c:pt idx="48">
                  <c:v>1.16151570398182</c:v>
                </c:pt>
                <c:pt idx="49">
                  <c:v>1.1766082602769643</c:v>
                </c:pt>
                <c:pt idx="50">
                  <c:v>1.1917215888387052</c:v>
                </c:pt>
                <c:pt idx="51">
                  <c:v>1.2068545442985155</c:v>
                </c:pt>
                <c:pt idx="52">
                  <c:v>1.2220060581697538</c:v>
                </c:pt>
                <c:pt idx="53">
                  <c:v>1.2371751324580504</c:v>
                </c:pt>
                <c:pt idx="54">
                  <c:v>1.2523608338944712</c:v>
                </c:pt>
                <c:pt idx="55">
                  <c:v>1.267562288722246</c:v>
                </c:pt>
                <c:pt idx="56">
                  <c:v>1.2827786779764718</c:v>
                </c:pt>
                <c:pt idx="57">
                  <c:v>1.2980092332035351</c:v>
                </c:pt>
                <c:pt idx="58">
                  <c:v>1.313253232573528</c:v>
                </c:pt>
                <c:pt idx="59">
                  <c:v>1.3285099973443693</c:v>
                </c:pt>
                <c:pt idx="60">
                  <c:v>1.3437788886413404</c:v>
                </c:pt>
                <c:pt idx="61">
                  <c:v>1.3590593045197821</c:v>
                </c:pt>
                <c:pt idx="62">
                  <c:v>1.3743506772825427</c:v>
                </c:pt>
                <c:pt idx="63">
                  <c:v>1.3896524710268423</c:v>
                </c:pt>
                <c:pt idx="64">
                  <c:v>1.4049641793981102</c:v>
                </c:pt>
                <c:pt idx="65">
                  <c:v>1.4202853235308321</c:v>
                </c:pt>
                <c:pt idx="66">
                  <c:v>1.4356154501584797</c:v>
                </c:pt>
                <c:pt idx="67">
                  <c:v>1.4509541298767292</c:v>
                </c:pt>
                <c:pt idx="68">
                  <c:v>1.4663009555456163</c:v>
                </c:pt>
                <c:pt idx="69">
                  <c:v>1.4816555408179521</c:v>
                </c:pt>
                <c:pt idx="70">
                  <c:v>1.4970175187825241</c:v>
                </c:pt>
                <c:pt idx="71">
                  <c:v>1.5123865407118036</c:v>
                </c:pt>
                <c:pt idx="72">
                  <c:v>1.5277622749049478</c:v>
                </c:pt>
                <c:pt idx="73">
                  <c:v>1.5431444056177597</c:v>
                </c:pt>
                <c:pt idx="74">
                  <c:v>1.5585326320720885</c:v>
                </c:pt>
                <c:pt idx="75">
                  <c:v>1.5739266675379309</c:v>
                </c:pt>
                <c:pt idx="76">
                  <c:v>1.5893262384820535</c:v>
                </c:pt>
                <c:pt idx="77">
                  <c:v>1.6047310837776543</c:v>
                </c:pt>
                <c:pt idx="78">
                  <c:v>1.6201409539699831</c:v>
                </c:pt>
                <c:pt idx="79">
                  <c:v>1.6355556105934053</c:v>
                </c:pt>
                <c:pt idx="80">
                  <c:v>1.6509748255357479</c:v>
                </c:pt>
                <c:pt idx="81">
                  <c:v>1.6663983804461431</c:v>
                </c:pt>
                <c:pt idx="82">
                  <c:v>1.6818260661829996</c:v>
                </c:pt>
                <c:pt idx="83">
                  <c:v>1.69725768229892</c:v>
                </c:pt>
                <c:pt idx="84">
                  <c:v>1.7126930365597346</c:v>
                </c:pt>
                <c:pt idx="85">
                  <c:v>1.7281319444950913</c:v>
                </c:pt>
                <c:pt idx="86">
                  <c:v>1.7435742289781349</c:v>
                </c:pt>
                <c:pt idx="87">
                  <c:v>1.7590197198321817</c:v>
                </c:pt>
                <c:pt idx="88">
                  <c:v>1.7744682534624001</c:v>
                </c:pt>
                <c:pt idx="89">
                  <c:v>1.7899196725105533</c:v>
                </c:pt>
                <c:pt idx="90">
                  <c:v>1.8053738255313032</c:v>
                </c:pt>
                <c:pt idx="91">
                  <c:v>1.8208305666884073</c:v>
                </c:pt>
                <c:pt idx="92">
                  <c:v>1.83628975546943</c:v>
                </c:pt>
                <c:pt idx="93">
                  <c:v>1.8517512564176837</c:v>
                </c:pt>
                <c:pt idx="94">
                  <c:v>1.8672149388802008</c:v>
                </c:pt>
                <c:pt idx="95">
                  <c:v>1.8826806767706028</c:v>
                </c:pt>
                <c:pt idx="96">
                  <c:v>1.8981483483458828</c:v>
                </c:pt>
                <c:pt idx="97">
                  <c:v>1.9136178359961367</c:v>
                </c:pt>
                <c:pt idx="98">
                  <c:v>1.9290890260464071</c:v>
                </c:pt>
                <c:pt idx="99">
                  <c:v>1.9445618085698015</c:v>
                </c:pt>
                <c:pt idx="100">
                  <c:v>1.9600360772111589</c:v>
                </c:pt>
                <c:pt idx="101">
                  <c:v>1.9755117290205781</c:v>
                </c:pt>
                <c:pt idx="102">
                  <c:v>1.9909886642961947</c:v>
                </c:pt>
                <c:pt idx="103">
                  <c:v>2.0064667864355528</c:v>
                </c:pt>
                <c:pt idx="104">
                  <c:v>2.0219460017951132</c:v>
                </c:pt>
                <c:pt idx="105">
                  <c:v>2.0374262195572808</c:v>
                </c:pt>
                <c:pt idx="106">
                  <c:v>2.0529073516046186</c:v>
                </c:pt>
                <c:pt idx="107">
                  <c:v>2.0683893124006616</c:v>
                </c:pt>
                <c:pt idx="108">
                  <c:v>2.0838720188770203</c:v>
                </c:pt>
                <c:pt idx="109">
                  <c:v>2.0993553903263908</c:v>
                </c:pt>
                <c:pt idx="110">
                  <c:v>2.1148393483010341</c:v>
                </c:pt>
                <c:pt idx="111">
                  <c:v>2.1303238165165244</c:v>
                </c:pt>
                <c:pt idx="112">
                  <c:v>2.145808720760316</c:v>
                </c:pt>
                <c:pt idx="113">
                  <c:v>2.1612939888049851</c:v>
                </c:pt>
                <c:pt idx="114">
                  <c:v>2.1767795503257492</c:v>
                </c:pt>
                <c:pt idx="115">
                  <c:v>2.1922653368221123</c:v>
                </c:pt>
                <c:pt idx="116">
                  <c:v>2.2077512815433291</c:v>
                </c:pt>
                <c:pt idx="117">
                  <c:v>2.2232373194175477</c:v>
                </c:pt>
                <c:pt idx="118">
                  <c:v>2.2387233869843293</c:v>
                </c:pt>
                <c:pt idx="119">
                  <c:v>2.2542094223304439</c:v>
                </c:pt>
                <c:pt idx="120">
                  <c:v>2.2696953650287064</c:v>
                </c:pt>
                <c:pt idx="121">
                  <c:v>2.2851811560796964</c:v>
                </c:pt>
                <c:pt idx="122">
                  <c:v>2.3006667378562469</c:v>
                </c:pt>
                <c:pt idx="123">
                  <c:v>2.316152054050459</c:v>
                </c:pt>
                <c:pt idx="124">
                  <c:v>2.3316370496232128</c:v>
                </c:pt>
                <c:pt idx="125">
                  <c:v>2.3471216707559517</c:v>
                </c:pt>
                <c:pt idx="126">
                  <c:v>2.3626058648047046</c:v>
                </c:pt>
                <c:pt idx="127">
                  <c:v>2.3780895802561481</c:v>
                </c:pt>
                <c:pt idx="128">
                  <c:v>2.3935727666856383</c:v>
                </c:pt>
                <c:pt idx="129">
                  <c:v>2.4090553747171324</c:v>
                </c:pt>
                <c:pt idx="130">
                  <c:v>2.4245373559848691</c:v>
                </c:pt>
                <c:pt idx="131">
                  <c:v>2.4400186630967156</c:v>
                </c:pt>
                <c:pt idx="132">
                  <c:v>2.4554992495991428</c:v>
                </c:pt>
                <c:pt idx="133">
                  <c:v>2.4709790699436684</c:v>
                </c:pt>
                <c:pt idx="134">
                  <c:v>2.4864580794547884</c:v>
                </c:pt>
                <c:pt idx="135">
                  <c:v>2.5019362342992331</c:v>
                </c:pt>
                <c:pt idx="136">
                  <c:v>2.5174134914565673</c:v>
                </c:pt>
                <c:pt idx="137">
                  <c:v>2.532889808690987</c:v>
                </c:pt>
                <c:pt idx="138">
                  <c:v>2.5483651445243058</c:v>
                </c:pt>
                <c:pt idx="139">
                  <c:v>2.5638394582100901</c:v>
                </c:pt>
                <c:pt idx="140">
                  <c:v>2.5793127097087911</c:v>
                </c:pt>
                <c:pt idx="141">
                  <c:v>2.594784859663994</c:v>
                </c:pt>
                <c:pt idx="142">
                  <c:v>2.6102558693795235</c:v>
                </c:pt>
                <c:pt idx="143">
                  <c:v>2.6257257007975614</c:v>
                </c:pt>
                <c:pt idx="144">
                  <c:v>2.6411943164775877</c:v>
                </c:pt>
                <c:pt idx="145">
                  <c:v>2.6566616795761835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800704"/>
        <c:axId val="261802240"/>
      </c:scatterChart>
      <c:valAx>
        <c:axId val="261800704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261802240"/>
        <c:crosses val="autoZero"/>
        <c:crossBetween val="midCat"/>
      </c:valAx>
      <c:valAx>
        <c:axId val="261802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1800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'BSM-Greeks'!$J$15:$J$160</c:f>
              <c:numCache>
                <c:formatCode>0.00%</c:formatCode>
                <c:ptCount val="146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1.8000000000000002E-2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2.6000000000000002E-2</c:v>
                </c:pt>
                <c:pt idx="9">
                  <c:v>2.8000000000000004E-2</c:v>
                </c:pt>
                <c:pt idx="10">
                  <c:v>0.03</c:v>
                </c:pt>
                <c:pt idx="11">
                  <c:v>3.2000000000000001E-2</c:v>
                </c:pt>
                <c:pt idx="12">
                  <c:v>3.4000000000000002E-2</c:v>
                </c:pt>
                <c:pt idx="13">
                  <c:v>3.6000000000000004E-2</c:v>
                </c:pt>
                <c:pt idx="14">
                  <c:v>3.7999999999999999E-2</c:v>
                </c:pt>
                <c:pt idx="15">
                  <c:v>0.04</c:v>
                </c:pt>
                <c:pt idx="16">
                  <c:v>4.2000000000000003E-2</c:v>
                </c:pt>
                <c:pt idx="17">
                  <c:v>4.4000000000000004E-2</c:v>
                </c:pt>
                <c:pt idx="18">
                  <c:v>4.6000000000000006E-2</c:v>
                </c:pt>
                <c:pt idx="19">
                  <c:v>4.8000000000000001E-2</c:v>
                </c:pt>
                <c:pt idx="20">
                  <c:v>0.05</c:v>
                </c:pt>
                <c:pt idx="21">
                  <c:v>5.2000000000000005E-2</c:v>
                </c:pt>
                <c:pt idx="22">
                  <c:v>5.3999999999999999E-2</c:v>
                </c:pt>
                <c:pt idx="23">
                  <c:v>5.6000000000000001E-2</c:v>
                </c:pt>
                <c:pt idx="24">
                  <c:v>5.8000000000000003E-2</c:v>
                </c:pt>
                <c:pt idx="25">
                  <c:v>6.0000000000000005E-2</c:v>
                </c:pt>
                <c:pt idx="26">
                  <c:v>6.2000000000000006E-2</c:v>
                </c:pt>
                <c:pt idx="27">
                  <c:v>6.4000000000000001E-2</c:v>
                </c:pt>
                <c:pt idx="28">
                  <c:v>6.6000000000000003E-2</c:v>
                </c:pt>
                <c:pt idx="29">
                  <c:v>6.8000000000000005E-2</c:v>
                </c:pt>
                <c:pt idx="30">
                  <c:v>6.9999999999999993E-2</c:v>
                </c:pt>
                <c:pt idx="31">
                  <c:v>7.1999999999999995E-2</c:v>
                </c:pt>
                <c:pt idx="32">
                  <c:v>7.3999999999999996E-2</c:v>
                </c:pt>
                <c:pt idx="33">
                  <c:v>7.5999999999999998E-2</c:v>
                </c:pt>
                <c:pt idx="34">
                  <c:v>7.8E-2</c:v>
                </c:pt>
                <c:pt idx="35">
                  <c:v>0.08</c:v>
                </c:pt>
                <c:pt idx="36">
                  <c:v>8.2000000000000003E-2</c:v>
                </c:pt>
                <c:pt idx="37">
                  <c:v>8.3999999999999991E-2</c:v>
                </c:pt>
                <c:pt idx="38">
                  <c:v>8.5999999999999993E-2</c:v>
                </c:pt>
                <c:pt idx="39">
                  <c:v>8.7999999999999995E-2</c:v>
                </c:pt>
                <c:pt idx="40">
                  <c:v>0.09</c:v>
                </c:pt>
                <c:pt idx="41">
                  <c:v>9.1999999999999998E-2</c:v>
                </c:pt>
                <c:pt idx="42">
                  <c:v>9.4E-2</c:v>
                </c:pt>
                <c:pt idx="43">
                  <c:v>9.6000000000000002E-2</c:v>
                </c:pt>
                <c:pt idx="44">
                  <c:v>9.799999999999999E-2</c:v>
                </c:pt>
                <c:pt idx="45">
                  <c:v>9.9999999999999992E-2</c:v>
                </c:pt>
                <c:pt idx="46">
                  <c:v>0.10199999999999999</c:v>
                </c:pt>
                <c:pt idx="47">
                  <c:v>0.104</c:v>
                </c:pt>
                <c:pt idx="48">
                  <c:v>0.106</c:v>
                </c:pt>
                <c:pt idx="49">
                  <c:v>0.108</c:v>
                </c:pt>
                <c:pt idx="50">
                  <c:v>0.11</c:v>
                </c:pt>
                <c:pt idx="51">
                  <c:v>0.112</c:v>
                </c:pt>
                <c:pt idx="52">
                  <c:v>0.114</c:v>
                </c:pt>
                <c:pt idx="53">
                  <c:v>0.11599999999999999</c:v>
                </c:pt>
                <c:pt idx="54">
                  <c:v>0.11799999999999999</c:v>
                </c:pt>
                <c:pt idx="55">
                  <c:v>0.12</c:v>
                </c:pt>
                <c:pt idx="56">
                  <c:v>0.122</c:v>
                </c:pt>
                <c:pt idx="57">
                  <c:v>0.124</c:v>
                </c:pt>
                <c:pt idx="58">
                  <c:v>0.126</c:v>
                </c:pt>
                <c:pt idx="59">
                  <c:v>0.128</c:v>
                </c:pt>
                <c:pt idx="60">
                  <c:v>0.13</c:v>
                </c:pt>
                <c:pt idx="61">
                  <c:v>0.13200000000000001</c:v>
                </c:pt>
                <c:pt idx="62">
                  <c:v>0.13400000000000001</c:v>
                </c:pt>
                <c:pt idx="63">
                  <c:v>0.13600000000000001</c:v>
                </c:pt>
                <c:pt idx="64">
                  <c:v>0.13800000000000001</c:v>
                </c:pt>
                <c:pt idx="65">
                  <c:v>0.14000000000000001</c:v>
                </c:pt>
                <c:pt idx="66">
                  <c:v>0.14200000000000002</c:v>
                </c:pt>
                <c:pt idx="67">
                  <c:v>0.14400000000000002</c:v>
                </c:pt>
                <c:pt idx="68">
                  <c:v>0.14600000000000002</c:v>
                </c:pt>
                <c:pt idx="69">
                  <c:v>0.14800000000000002</c:v>
                </c:pt>
                <c:pt idx="70">
                  <c:v>0.15000000000000002</c:v>
                </c:pt>
                <c:pt idx="71">
                  <c:v>0.15200000000000002</c:v>
                </c:pt>
                <c:pt idx="72">
                  <c:v>0.15400000000000003</c:v>
                </c:pt>
                <c:pt idx="73">
                  <c:v>0.156</c:v>
                </c:pt>
                <c:pt idx="74">
                  <c:v>0.158</c:v>
                </c:pt>
                <c:pt idx="75">
                  <c:v>0.16</c:v>
                </c:pt>
                <c:pt idx="76">
                  <c:v>0.16200000000000001</c:v>
                </c:pt>
                <c:pt idx="77">
                  <c:v>0.16400000000000001</c:v>
                </c:pt>
                <c:pt idx="78">
                  <c:v>0.16600000000000001</c:v>
                </c:pt>
                <c:pt idx="79">
                  <c:v>0.16800000000000001</c:v>
                </c:pt>
                <c:pt idx="80">
                  <c:v>0.17</c:v>
                </c:pt>
                <c:pt idx="81">
                  <c:v>0.17200000000000001</c:v>
                </c:pt>
                <c:pt idx="82">
                  <c:v>0.17400000000000002</c:v>
                </c:pt>
                <c:pt idx="83">
                  <c:v>0.17600000000000002</c:v>
                </c:pt>
                <c:pt idx="84">
                  <c:v>0.17800000000000002</c:v>
                </c:pt>
                <c:pt idx="85">
                  <c:v>0.18000000000000002</c:v>
                </c:pt>
                <c:pt idx="86">
                  <c:v>0.18200000000000002</c:v>
                </c:pt>
                <c:pt idx="87">
                  <c:v>0.18400000000000002</c:v>
                </c:pt>
                <c:pt idx="88">
                  <c:v>0.186</c:v>
                </c:pt>
                <c:pt idx="89">
                  <c:v>0.188</c:v>
                </c:pt>
                <c:pt idx="90">
                  <c:v>0.19</c:v>
                </c:pt>
                <c:pt idx="91">
                  <c:v>0.192</c:v>
                </c:pt>
                <c:pt idx="92">
                  <c:v>0.19400000000000001</c:v>
                </c:pt>
                <c:pt idx="93">
                  <c:v>0.19600000000000001</c:v>
                </c:pt>
                <c:pt idx="94">
                  <c:v>0.19800000000000001</c:v>
                </c:pt>
                <c:pt idx="95">
                  <c:v>0.2</c:v>
                </c:pt>
                <c:pt idx="96">
                  <c:v>0.20200000000000001</c:v>
                </c:pt>
                <c:pt idx="97">
                  <c:v>0.20400000000000001</c:v>
                </c:pt>
                <c:pt idx="98">
                  <c:v>0.20600000000000002</c:v>
                </c:pt>
                <c:pt idx="99">
                  <c:v>0.20800000000000002</c:v>
                </c:pt>
                <c:pt idx="100">
                  <c:v>0.21000000000000002</c:v>
                </c:pt>
                <c:pt idx="101">
                  <c:v>0.21200000000000002</c:v>
                </c:pt>
                <c:pt idx="102">
                  <c:v>0.21400000000000002</c:v>
                </c:pt>
                <c:pt idx="103">
                  <c:v>0.21600000000000003</c:v>
                </c:pt>
                <c:pt idx="104">
                  <c:v>0.21800000000000003</c:v>
                </c:pt>
                <c:pt idx="105">
                  <c:v>0.22</c:v>
                </c:pt>
                <c:pt idx="106">
                  <c:v>0.222</c:v>
                </c:pt>
                <c:pt idx="107">
                  <c:v>0.224</c:v>
                </c:pt>
                <c:pt idx="108">
                  <c:v>0.22600000000000001</c:v>
                </c:pt>
                <c:pt idx="109">
                  <c:v>0.22800000000000001</c:v>
                </c:pt>
                <c:pt idx="110">
                  <c:v>0.23</c:v>
                </c:pt>
                <c:pt idx="111">
                  <c:v>0.23200000000000001</c:v>
                </c:pt>
                <c:pt idx="112">
                  <c:v>0.23400000000000001</c:v>
                </c:pt>
                <c:pt idx="113">
                  <c:v>0.23600000000000002</c:v>
                </c:pt>
                <c:pt idx="114">
                  <c:v>0.23800000000000002</c:v>
                </c:pt>
                <c:pt idx="115">
                  <c:v>0.24000000000000002</c:v>
                </c:pt>
                <c:pt idx="116">
                  <c:v>0.24200000000000002</c:v>
                </c:pt>
                <c:pt idx="117">
                  <c:v>0.24400000000000002</c:v>
                </c:pt>
                <c:pt idx="118">
                  <c:v>0.24600000000000002</c:v>
                </c:pt>
                <c:pt idx="119">
                  <c:v>0.24800000000000003</c:v>
                </c:pt>
                <c:pt idx="120">
                  <c:v>0.25</c:v>
                </c:pt>
                <c:pt idx="121">
                  <c:v>0.252</c:v>
                </c:pt>
                <c:pt idx="122">
                  <c:v>0.254</c:v>
                </c:pt>
                <c:pt idx="123">
                  <c:v>0.25600000000000001</c:v>
                </c:pt>
                <c:pt idx="124">
                  <c:v>0.25800000000000001</c:v>
                </c:pt>
                <c:pt idx="125">
                  <c:v>0.26</c:v>
                </c:pt>
                <c:pt idx="126">
                  <c:v>0.26200000000000001</c:v>
                </c:pt>
                <c:pt idx="127">
                  <c:v>0.26400000000000001</c:v>
                </c:pt>
                <c:pt idx="128">
                  <c:v>0.26600000000000001</c:v>
                </c:pt>
                <c:pt idx="129">
                  <c:v>0.26800000000000002</c:v>
                </c:pt>
                <c:pt idx="130">
                  <c:v>0.27</c:v>
                </c:pt>
                <c:pt idx="131">
                  <c:v>0.27200000000000002</c:v>
                </c:pt>
                <c:pt idx="132">
                  <c:v>0.27400000000000002</c:v>
                </c:pt>
                <c:pt idx="133">
                  <c:v>0.27600000000000002</c:v>
                </c:pt>
                <c:pt idx="134">
                  <c:v>0.27800000000000002</c:v>
                </c:pt>
                <c:pt idx="135">
                  <c:v>0.28000000000000003</c:v>
                </c:pt>
                <c:pt idx="136">
                  <c:v>0.28200000000000003</c:v>
                </c:pt>
                <c:pt idx="137">
                  <c:v>0.28400000000000003</c:v>
                </c:pt>
                <c:pt idx="138">
                  <c:v>0.28600000000000003</c:v>
                </c:pt>
                <c:pt idx="139">
                  <c:v>0.28800000000000003</c:v>
                </c:pt>
                <c:pt idx="140">
                  <c:v>0.29000000000000004</c:v>
                </c:pt>
                <c:pt idx="141">
                  <c:v>0.29200000000000004</c:v>
                </c:pt>
                <c:pt idx="142">
                  <c:v>0.29400000000000004</c:v>
                </c:pt>
                <c:pt idx="143">
                  <c:v>0.29600000000000004</c:v>
                </c:pt>
                <c:pt idx="144">
                  <c:v>0.29800000000000004</c:v>
                </c:pt>
                <c:pt idx="145">
                  <c:v>0.3</c:v>
                </c:pt>
              </c:numCache>
            </c:numRef>
          </c:xVal>
          <c:yVal>
            <c:numRef>
              <c:f>'BSM-Greeks'!$K$15:$K$160</c:f>
              <c:numCache>
                <c:formatCode>General</c:formatCode>
                <c:ptCount val="146"/>
                <c:pt idx="0">
                  <c:v>0.5911646211712025</c:v>
                </c:pt>
                <c:pt idx="1">
                  <c:v>0.5915631538049233</c:v>
                </c:pt>
                <c:pt idx="2">
                  <c:v>0.59267309311724148</c:v>
                </c:pt>
                <c:pt idx="3">
                  <c:v>0.59480684392035954</c:v>
                </c:pt>
                <c:pt idx="4">
                  <c:v>0.59812041064379073</c:v>
                </c:pt>
                <c:pt idx="5">
                  <c:v>0.6026371004782618</c:v>
                </c:pt>
                <c:pt idx="6">
                  <c:v>0.60829888808918753</c:v>
                </c:pt>
                <c:pt idx="7">
                  <c:v>0.61500834269556748</c:v>
                </c:pt>
                <c:pt idx="8">
                  <c:v>0.62265496358074657</c:v>
                </c:pt>
                <c:pt idx="9">
                  <c:v>0.63112951242159809</c:v>
                </c:pt>
                <c:pt idx="10">
                  <c:v>0.6403308514723669</c:v>
                </c:pt>
                <c:pt idx="11">
                  <c:v>0.65016856382762356</c:v>
                </c:pt>
                <c:pt idx="12">
                  <c:v>0.66056337266008747</c:v>
                </c:pt>
                <c:pt idx="13">
                  <c:v>0.67144650647414394</c:v>
                </c:pt>
                <c:pt idx="14">
                  <c:v>0.68275863026564387</c:v>
                </c:pt>
                <c:pt idx="15">
                  <c:v>0.6944486622181234</c:v>
                </c:pt>
                <c:pt idx="16">
                  <c:v>0.70647263073610134</c:v>
                </c:pt>
                <c:pt idx="17">
                  <c:v>0.7187926387510597</c:v>
                </c:pt>
                <c:pt idx="18">
                  <c:v>0.73137595691750867</c:v>
                </c:pt>
                <c:pt idx="19">
                  <c:v>0.74419424506377219</c:v>
                </c:pt>
                <c:pt idx="20">
                  <c:v>0.75722289127642561</c:v>
                </c:pt>
                <c:pt idx="21">
                  <c:v>0.77044045437333075</c:v>
                </c:pt>
                <c:pt idx="22">
                  <c:v>0.78382819506421875</c:v>
                </c:pt>
                <c:pt idx="23">
                  <c:v>0.79736968210701242</c:v>
                </c:pt>
                <c:pt idx="24">
                  <c:v>0.81105046135197689</c:v>
                </c:pt>
                <c:pt idx="25">
                  <c:v>0.82485777727572795</c:v>
                </c:pt>
                <c:pt idx="26">
                  <c:v>0.83878033822954734</c:v>
                </c:pt>
                <c:pt idx="27">
                  <c:v>0.85280811807319346</c:v>
                </c:pt>
                <c:pt idx="28">
                  <c:v>0.86693218811135964</c:v>
                </c:pt>
                <c:pt idx="29">
                  <c:v>0.88114457430085125</c:v>
                </c:pt>
                <c:pt idx="30">
                  <c:v>0.89543813557224361</c:v>
                </c:pt>
                <c:pt idx="31">
                  <c:v>0.90980645983354336</c:v>
                </c:pt>
                <c:pt idx="32">
                  <c:v>0.92424377481869158</c:v>
                </c:pt>
                <c:pt idx="33">
                  <c:v>0.93874487143284568</c:v>
                </c:pt>
                <c:pt idx="34">
                  <c:v>0.95330503764717101</c:v>
                </c:pt>
                <c:pt idx="35">
                  <c:v>0.96792000132495914</c:v>
                </c:pt>
                <c:pt idx="36">
                  <c:v>0.98258588063074015</c:v>
                </c:pt>
                <c:pt idx="37">
                  <c:v>0.99729914089649441</c:v>
                </c:pt>
                <c:pt idx="38">
                  <c:v>1.0120565570017259</c:v>
                </c:pt>
                <c:pt idx="39">
                  <c:v>1.0268551804754384</c:v>
                </c:pt>
                <c:pt idx="40">
                  <c:v>1.0416923106530316</c:v>
                </c:pt>
                <c:pt idx="41">
                  <c:v>1.0565654693248288</c:v>
                </c:pt>
                <c:pt idx="42">
                  <c:v>1.0714723783993403</c:v>
                </c:pt>
                <c:pt idx="43">
                  <c:v>1.0864109401761688</c:v>
                </c:pt>
                <c:pt idx="44">
                  <c:v>1.101379219883782</c:v>
                </c:pt>
                <c:pt idx="45">
                  <c:v>1.1163754301877464</c:v>
                </c:pt>
                <c:pt idx="46">
                  <c:v>1.1313979174174875</c:v>
                </c:pt>
                <c:pt idx="47">
                  <c:v>1.146445149295328</c:v>
                </c:pt>
                <c:pt idx="48">
                  <c:v>1.16151570398182</c:v>
                </c:pt>
                <c:pt idx="49">
                  <c:v>1.1766082602769643</c:v>
                </c:pt>
                <c:pt idx="50">
                  <c:v>1.1917215888387052</c:v>
                </c:pt>
                <c:pt idx="51">
                  <c:v>1.2068545442985155</c:v>
                </c:pt>
                <c:pt idx="52">
                  <c:v>1.2220060581697538</c:v>
                </c:pt>
                <c:pt idx="53">
                  <c:v>1.2371751324580504</c:v>
                </c:pt>
                <c:pt idx="54">
                  <c:v>1.2523608338944712</c:v>
                </c:pt>
                <c:pt idx="55">
                  <c:v>1.267562288722246</c:v>
                </c:pt>
                <c:pt idx="56">
                  <c:v>1.2827786779764718</c:v>
                </c:pt>
                <c:pt idx="57">
                  <c:v>1.2980092332035351</c:v>
                </c:pt>
                <c:pt idx="58">
                  <c:v>1.313253232573528</c:v>
                </c:pt>
                <c:pt idx="59">
                  <c:v>1.3285099973443693</c:v>
                </c:pt>
                <c:pt idx="60">
                  <c:v>1.3437788886413404</c:v>
                </c:pt>
                <c:pt idx="61">
                  <c:v>1.3590593045197821</c:v>
                </c:pt>
                <c:pt idx="62">
                  <c:v>1.3743506772825427</c:v>
                </c:pt>
                <c:pt idx="63">
                  <c:v>1.3896524710268423</c:v>
                </c:pt>
                <c:pt idx="64">
                  <c:v>1.4049641793981102</c:v>
                </c:pt>
                <c:pt idx="65">
                  <c:v>1.4202853235308321</c:v>
                </c:pt>
                <c:pt idx="66">
                  <c:v>1.4356154501584797</c:v>
                </c:pt>
                <c:pt idx="67">
                  <c:v>1.4509541298767292</c:v>
                </c:pt>
                <c:pt idx="68">
                  <c:v>1.4663009555456163</c:v>
                </c:pt>
                <c:pt idx="69">
                  <c:v>1.4816555408179521</c:v>
                </c:pt>
                <c:pt idx="70">
                  <c:v>1.4970175187825241</c:v>
                </c:pt>
                <c:pt idx="71">
                  <c:v>1.5123865407118036</c:v>
                </c:pt>
                <c:pt idx="72">
                  <c:v>1.5277622749049478</c:v>
                </c:pt>
                <c:pt idx="73">
                  <c:v>1.5431444056177597</c:v>
                </c:pt>
                <c:pt idx="74">
                  <c:v>1.5585326320720885</c:v>
                </c:pt>
                <c:pt idx="75">
                  <c:v>1.5739266675379309</c:v>
                </c:pt>
                <c:pt idx="76">
                  <c:v>1.5893262384820535</c:v>
                </c:pt>
                <c:pt idx="77">
                  <c:v>1.6047310837776543</c:v>
                </c:pt>
                <c:pt idx="78">
                  <c:v>1.6201409539699831</c:v>
                </c:pt>
                <c:pt idx="79">
                  <c:v>1.6355556105934053</c:v>
                </c:pt>
                <c:pt idx="80">
                  <c:v>1.6509748255357479</c:v>
                </c:pt>
                <c:pt idx="81">
                  <c:v>1.6663983804461431</c:v>
                </c:pt>
                <c:pt idx="82">
                  <c:v>1.6818260661829996</c:v>
                </c:pt>
                <c:pt idx="83">
                  <c:v>1.69725768229892</c:v>
                </c:pt>
                <c:pt idx="84">
                  <c:v>1.7126930365597346</c:v>
                </c:pt>
                <c:pt idx="85">
                  <c:v>1.7281319444950913</c:v>
                </c:pt>
                <c:pt idx="86">
                  <c:v>1.7435742289781349</c:v>
                </c:pt>
                <c:pt idx="87">
                  <c:v>1.7590197198321817</c:v>
                </c:pt>
                <c:pt idx="88">
                  <c:v>1.7744682534624001</c:v>
                </c:pt>
                <c:pt idx="89">
                  <c:v>1.7899196725105533</c:v>
                </c:pt>
                <c:pt idx="90">
                  <c:v>1.8053738255313032</c:v>
                </c:pt>
                <c:pt idx="91">
                  <c:v>1.8208305666884073</c:v>
                </c:pt>
                <c:pt idx="92">
                  <c:v>1.83628975546943</c:v>
                </c:pt>
                <c:pt idx="93">
                  <c:v>1.8517512564176837</c:v>
                </c:pt>
                <c:pt idx="94">
                  <c:v>1.8672149388802008</c:v>
                </c:pt>
                <c:pt idx="95">
                  <c:v>1.8826806767706028</c:v>
                </c:pt>
                <c:pt idx="96">
                  <c:v>1.8981483483458828</c:v>
                </c:pt>
                <c:pt idx="97">
                  <c:v>1.9136178359961367</c:v>
                </c:pt>
                <c:pt idx="98">
                  <c:v>1.9290890260464071</c:v>
                </c:pt>
                <c:pt idx="99">
                  <c:v>1.9445618085698015</c:v>
                </c:pt>
                <c:pt idx="100">
                  <c:v>1.9600360772111589</c:v>
                </c:pt>
                <c:pt idx="101">
                  <c:v>1.9755117290205781</c:v>
                </c:pt>
                <c:pt idx="102">
                  <c:v>1.9909886642961947</c:v>
                </c:pt>
                <c:pt idx="103">
                  <c:v>2.0064667864355528</c:v>
                </c:pt>
                <c:pt idx="104">
                  <c:v>2.0219460017951132</c:v>
                </c:pt>
                <c:pt idx="105">
                  <c:v>2.0374262195572808</c:v>
                </c:pt>
                <c:pt idx="106">
                  <c:v>2.0529073516046186</c:v>
                </c:pt>
                <c:pt idx="107">
                  <c:v>2.0683893124006616</c:v>
                </c:pt>
                <c:pt idx="108">
                  <c:v>2.0838720188770203</c:v>
                </c:pt>
                <c:pt idx="109">
                  <c:v>2.0993553903263908</c:v>
                </c:pt>
                <c:pt idx="110">
                  <c:v>2.1148393483010341</c:v>
                </c:pt>
                <c:pt idx="111">
                  <c:v>2.1303238165165244</c:v>
                </c:pt>
                <c:pt idx="112">
                  <c:v>2.145808720760316</c:v>
                </c:pt>
                <c:pt idx="113">
                  <c:v>2.1612939888049851</c:v>
                </c:pt>
                <c:pt idx="114">
                  <c:v>2.1767795503257492</c:v>
                </c:pt>
                <c:pt idx="115">
                  <c:v>2.1922653368221123</c:v>
                </c:pt>
                <c:pt idx="116">
                  <c:v>2.2077512815433291</c:v>
                </c:pt>
                <c:pt idx="117">
                  <c:v>2.2232373194175477</c:v>
                </c:pt>
                <c:pt idx="118">
                  <c:v>2.2387233869843293</c:v>
                </c:pt>
                <c:pt idx="119">
                  <c:v>2.2542094223304439</c:v>
                </c:pt>
                <c:pt idx="120">
                  <c:v>2.2696953650287064</c:v>
                </c:pt>
                <c:pt idx="121">
                  <c:v>2.2851811560796964</c:v>
                </c:pt>
                <c:pt idx="122">
                  <c:v>2.3006667378562469</c:v>
                </c:pt>
                <c:pt idx="123">
                  <c:v>2.316152054050459</c:v>
                </c:pt>
                <c:pt idx="124">
                  <c:v>2.3316370496232128</c:v>
                </c:pt>
                <c:pt idx="125">
                  <c:v>2.3471216707559517</c:v>
                </c:pt>
                <c:pt idx="126">
                  <c:v>2.3626058648047046</c:v>
                </c:pt>
                <c:pt idx="127">
                  <c:v>2.3780895802561481</c:v>
                </c:pt>
                <c:pt idx="128">
                  <c:v>2.3935727666856383</c:v>
                </c:pt>
                <c:pt idx="129">
                  <c:v>2.4090553747171324</c:v>
                </c:pt>
                <c:pt idx="130">
                  <c:v>2.4245373559848691</c:v>
                </c:pt>
                <c:pt idx="131">
                  <c:v>2.4400186630967156</c:v>
                </c:pt>
                <c:pt idx="132">
                  <c:v>2.4554992495991428</c:v>
                </c:pt>
                <c:pt idx="133">
                  <c:v>2.4709790699436684</c:v>
                </c:pt>
                <c:pt idx="134">
                  <c:v>2.4864580794547884</c:v>
                </c:pt>
                <c:pt idx="135">
                  <c:v>2.5019362342992331</c:v>
                </c:pt>
                <c:pt idx="136">
                  <c:v>2.5174134914565673</c:v>
                </c:pt>
                <c:pt idx="137">
                  <c:v>2.532889808690987</c:v>
                </c:pt>
                <c:pt idx="138">
                  <c:v>2.5483651445243058</c:v>
                </c:pt>
                <c:pt idx="139">
                  <c:v>2.5638394582100901</c:v>
                </c:pt>
                <c:pt idx="140">
                  <c:v>2.5793127097087911</c:v>
                </c:pt>
                <c:pt idx="141">
                  <c:v>2.594784859663994</c:v>
                </c:pt>
                <c:pt idx="142">
                  <c:v>2.6102558693795235</c:v>
                </c:pt>
                <c:pt idx="143">
                  <c:v>2.6257257007975614</c:v>
                </c:pt>
                <c:pt idx="144">
                  <c:v>2.6411943164775877</c:v>
                </c:pt>
                <c:pt idx="145">
                  <c:v>2.6566616795761835</c:v>
                </c:pt>
              </c:numCache>
            </c:numRef>
          </c:yVal>
          <c:smooth val="0"/>
        </c:ser>
        <c:ser>
          <c:idx val="1"/>
          <c:order val="1"/>
          <c:xVal>
            <c:numRef>
              <c:f>'BSM-Greeks'!$J$15:$J$160</c:f>
              <c:numCache>
                <c:formatCode>0.00%</c:formatCode>
                <c:ptCount val="146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1.8000000000000002E-2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2.6000000000000002E-2</c:v>
                </c:pt>
                <c:pt idx="9">
                  <c:v>2.8000000000000004E-2</c:v>
                </c:pt>
                <c:pt idx="10">
                  <c:v>0.03</c:v>
                </c:pt>
                <c:pt idx="11">
                  <c:v>3.2000000000000001E-2</c:v>
                </c:pt>
                <c:pt idx="12">
                  <c:v>3.4000000000000002E-2</c:v>
                </c:pt>
                <c:pt idx="13">
                  <c:v>3.6000000000000004E-2</c:v>
                </c:pt>
                <c:pt idx="14">
                  <c:v>3.7999999999999999E-2</c:v>
                </c:pt>
                <c:pt idx="15">
                  <c:v>0.04</c:v>
                </c:pt>
                <c:pt idx="16">
                  <c:v>4.2000000000000003E-2</c:v>
                </c:pt>
                <c:pt idx="17">
                  <c:v>4.4000000000000004E-2</c:v>
                </c:pt>
                <c:pt idx="18">
                  <c:v>4.6000000000000006E-2</c:v>
                </c:pt>
                <c:pt idx="19">
                  <c:v>4.8000000000000001E-2</c:v>
                </c:pt>
                <c:pt idx="20">
                  <c:v>0.05</c:v>
                </c:pt>
                <c:pt idx="21">
                  <c:v>5.2000000000000005E-2</c:v>
                </c:pt>
                <c:pt idx="22">
                  <c:v>5.3999999999999999E-2</c:v>
                </c:pt>
                <c:pt idx="23">
                  <c:v>5.6000000000000001E-2</c:v>
                </c:pt>
                <c:pt idx="24">
                  <c:v>5.8000000000000003E-2</c:v>
                </c:pt>
                <c:pt idx="25">
                  <c:v>6.0000000000000005E-2</c:v>
                </c:pt>
                <c:pt idx="26">
                  <c:v>6.2000000000000006E-2</c:v>
                </c:pt>
                <c:pt idx="27">
                  <c:v>6.4000000000000001E-2</c:v>
                </c:pt>
                <c:pt idx="28">
                  <c:v>6.6000000000000003E-2</c:v>
                </c:pt>
                <c:pt idx="29">
                  <c:v>6.8000000000000005E-2</c:v>
                </c:pt>
                <c:pt idx="30">
                  <c:v>6.9999999999999993E-2</c:v>
                </c:pt>
                <c:pt idx="31">
                  <c:v>7.1999999999999995E-2</c:v>
                </c:pt>
                <c:pt idx="32">
                  <c:v>7.3999999999999996E-2</c:v>
                </c:pt>
                <c:pt idx="33">
                  <c:v>7.5999999999999998E-2</c:v>
                </c:pt>
                <c:pt idx="34">
                  <c:v>7.8E-2</c:v>
                </c:pt>
                <c:pt idx="35">
                  <c:v>0.08</c:v>
                </c:pt>
                <c:pt idx="36">
                  <c:v>8.2000000000000003E-2</c:v>
                </c:pt>
                <c:pt idx="37">
                  <c:v>8.3999999999999991E-2</c:v>
                </c:pt>
                <c:pt idx="38">
                  <c:v>8.5999999999999993E-2</c:v>
                </c:pt>
                <c:pt idx="39">
                  <c:v>8.7999999999999995E-2</c:v>
                </c:pt>
                <c:pt idx="40">
                  <c:v>0.09</c:v>
                </c:pt>
                <c:pt idx="41">
                  <c:v>9.1999999999999998E-2</c:v>
                </c:pt>
                <c:pt idx="42">
                  <c:v>9.4E-2</c:v>
                </c:pt>
                <c:pt idx="43">
                  <c:v>9.6000000000000002E-2</c:v>
                </c:pt>
                <c:pt idx="44">
                  <c:v>9.799999999999999E-2</c:v>
                </c:pt>
                <c:pt idx="45">
                  <c:v>9.9999999999999992E-2</c:v>
                </c:pt>
                <c:pt idx="46">
                  <c:v>0.10199999999999999</c:v>
                </c:pt>
                <c:pt idx="47">
                  <c:v>0.104</c:v>
                </c:pt>
                <c:pt idx="48">
                  <c:v>0.106</c:v>
                </c:pt>
                <c:pt idx="49">
                  <c:v>0.108</c:v>
                </c:pt>
                <c:pt idx="50">
                  <c:v>0.11</c:v>
                </c:pt>
                <c:pt idx="51">
                  <c:v>0.112</c:v>
                </c:pt>
                <c:pt idx="52">
                  <c:v>0.114</c:v>
                </c:pt>
                <c:pt idx="53">
                  <c:v>0.11599999999999999</c:v>
                </c:pt>
                <c:pt idx="54">
                  <c:v>0.11799999999999999</c:v>
                </c:pt>
                <c:pt idx="55">
                  <c:v>0.12</c:v>
                </c:pt>
                <c:pt idx="56">
                  <c:v>0.122</c:v>
                </c:pt>
                <c:pt idx="57">
                  <c:v>0.124</c:v>
                </c:pt>
                <c:pt idx="58">
                  <c:v>0.126</c:v>
                </c:pt>
                <c:pt idx="59">
                  <c:v>0.128</c:v>
                </c:pt>
                <c:pt idx="60">
                  <c:v>0.13</c:v>
                </c:pt>
                <c:pt idx="61">
                  <c:v>0.13200000000000001</c:v>
                </c:pt>
                <c:pt idx="62">
                  <c:v>0.13400000000000001</c:v>
                </c:pt>
                <c:pt idx="63">
                  <c:v>0.13600000000000001</c:v>
                </c:pt>
                <c:pt idx="64">
                  <c:v>0.13800000000000001</c:v>
                </c:pt>
                <c:pt idx="65">
                  <c:v>0.14000000000000001</c:v>
                </c:pt>
                <c:pt idx="66">
                  <c:v>0.14200000000000002</c:v>
                </c:pt>
                <c:pt idx="67">
                  <c:v>0.14400000000000002</c:v>
                </c:pt>
                <c:pt idx="68">
                  <c:v>0.14600000000000002</c:v>
                </c:pt>
                <c:pt idx="69">
                  <c:v>0.14800000000000002</c:v>
                </c:pt>
                <c:pt idx="70">
                  <c:v>0.15000000000000002</c:v>
                </c:pt>
                <c:pt idx="71">
                  <c:v>0.15200000000000002</c:v>
                </c:pt>
                <c:pt idx="72">
                  <c:v>0.15400000000000003</c:v>
                </c:pt>
                <c:pt idx="73">
                  <c:v>0.156</c:v>
                </c:pt>
                <c:pt idx="74">
                  <c:v>0.158</c:v>
                </c:pt>
                <c:pt idx="75">
                  <c:v>0.16</c:v>
                </c:pt>
                <c:pt idx="76">
                  <c:v>0.16200000000000001</c:v>
                </c:pt>
                <c:pt idx="77">
                  <c:v>0.16400000000000001</c:v>
                </c:pt>
                <c:pt idx="78">
                  <c:v>0.16600000000000001</c:v>
                </c:pt>
                <c:pt idx="79">
                  <c:v>0.16800000000000001</c:v>
                </c:pt>
                <c:pt idx="80">
                  <c:v>0.17</c:v>
                </c:pt>
                <c:pt idx="81">
                  <c:v>0.17200000000000001</c:v>
                </c:pt>
                <c:pt idx="82">
                  <c:v>0.17400000000000002</c:v>
                </c:pt>
                <c:pt idx="83">
                  <c:v>0.17600000000000002</c:v>
                </c:pt>
                <c:pt idx="84">
                  <c:v>0.17800000000000002</c:v>
                </c:pt>
                <c:pt idx="85">
                  <c:v>0.18000000000000002</c:v>
                </c:pt>
                <c:pt idx="86">
                  <c:v>0.18200000000000002</c:v>
                </c:pt>
                <c:pt idx="87">
                  <c:v>0.18400000000000002</c:v>
                </c:pt>
                <c:pt idx="88">
                  <c:v>0.186</c:v>
                </c:pt>
                <c:pt idx="89">
                  <c:v>0.188</c:v>
                </c:pt>
                <c:pt idx="90">
                  <c:v>0.19</c:v>
                </c:pt>
                <c:pt idx="91">
                  <c:v>0.192</c:v>
                </c:pt>
                <c:pt idx="92">
                  <c:v>0.19400000000000001</c:v>
                </c:pt>
                <c:pt idx="93">
                  <c:v>0.19600000000000001</c:v>
                </c:pt>
                <c:pt idx="94">
                  <c:v>0.19800000000000001</c:v>
                </c:pt>
                <c:pt idx="95">
                  <c:v>0.2</c:v>
                </c:pt>
                <c:pt idx="96">
                  <c:v>0.20200000000000001</c:v>
                </c:pt>
                <c:pt idx="97">
                  <c:v>0.20400000000000001</c:v>
                </c:pt>
                <c:pt idx="98">
                  <c:v>0.20600000000000002</c:v>
                </c:pt>
                <c:pt idx="99">
                  <c:v>0.20800000000000002</c:v>
                </c:pt>
                <c:pt idx="100">
                  <c:v>0.21000000000000002</c:v>
                </c:pt>
                <c:pt idx="101">
                  <c:v>0.21200000000000002</c:v>
                </c:pt>
                <c:pt idx="102">
                  <c:v>0.21400000000000002</c:v>
                </c:pt>
                <c:pt idx="103">
                  <c:v>0.21600000000000003</c:v>
                </c:pt>
                <c:pt idx="104">
                  <c:v>0.21800000000000003</c:v>
                </c:pt>
                <c:pt idx="105">
                  <c:v>0.22</c:v>
                </c:pt>
                <c:pt idx="106">
                  <c:v>0.222</c:v>
                </c:pt>
                <c:pt idx="107">
                  <c:v>0.224</c:v>
                </c:pt>
                <c:pt idx="108">
                  <c:v>0.22600000000000001</c:v>
                </c:pt>
                <c:pt idx="109">
                  <c:v>0.22800000000000001</c:v>
                </c:pt>
                <c:pt idx="110">
                  <c:v>0.23</c:v>
                </c:pt>
                <c:pt idx="111">
                  <c:v>0.23200000000000001</c:v>
                </c:pt>
                <c:pt idx="112">
                  <c:v>0.23400000000000001</c:v>
                </c:pt>
                <c:pt idx="113">
                  <c:v>0.23600000000000002</c:v>
                </c:pt>
                <c:pt idx="114">
                  <c:v>0.23800000000000002</c:v>
                </c:pt>
                <c:pt idx="115">
                  <c:v>0.24000000000000002</c:v>
                </c:pt>
                <c:pt idx="116">
                  <c:v>0.24200000000000002</c:v>
                </c:pt>
                <c:pt idx="117">
                  <c:v>0.24400000000000002</c:v>
                </c:pt>
                <c:pt idx="118">
                  <c:v>0.24600000000000002</c:v>
                </c:pt>
                <c:pt idx="119">
                  <c:v>0.24800000000000003</c:v>
                </c:pt>
                <c:pt idx="120">
                  <c:v>0.25</c:v>
                </c:pt>
                <c:pt idx="121">
                  <c:v>0.252</c:v>
                </c:pt>
                <c:pt idx="122">
                  <c:v>0.254</c:v>
                </c:pt>
                <c:pt idx="123">
                  <c:v>0.25600000000000001</c:v>
                </c:pt>
                <c:pt idx="124">
                  <c:v>0.25800000000000001</c:v>
                </c:pt>
                <c:pt idx="125">
                  <c:v>0.26</c:v>
                </c:pt>
                <c:pt idx="126">
                  <c:v>0.26200000000000001</c:v>
                </c:pt>
                <c:pt idx="127">
                  <c:v>0.26400000000000001</c:v>
                </c:pt>
                <c:pt idx="128">
                  <c:v>0.26600000000000001</c:v>
                </c:pt>
                <c:pt idx="129">
                  <c:v>0.26800000000000002</c:v>
                </c:pt>
                <c:pt idx="130">
                  <c:v>0.27</c:v>
                </c:pt>
                <c:pt idx="131">
                  <c:v>0.27200000000000002</c:v>
                </c:pt>
                <c:pt idx="132">
                  <c:v>0.27400000000000002</c:v>
                </c:pt>
                <c:pt idx="133">
                  <c:v>0.27600000000000002</c:v>
                </c:pt>
                <c:pt idx="134">
                  <c:v>0.27800000000000002</c:v>
                </c:pt>
                <c:pt idx="135">
                  <c:v>0.28000000000000003</c:v>
                </c:pt>
                <c:pt idx="136">
                  <c:v>0.28200000000000003</c:v>
                </c:pt>
                <c:pt idx="137">
                  <c:v>0.28400000000000003</c:v>
                </c:pt>
                <c:pt idx="138">
                  <c:v>0.28600000000000003</c:v>
                </c:pt>
                <c:pt idx="139">
                  <c:v>0.28800000000000003</c:v>
                </c:pt>
                <c:pt idx="140">
                  <c:v>0.29000000000000004</c:v>
                </c:pt>
                <c:pt idx="141">
                  <c:v>0.29200000000000004</c:v>
                </c:pt>
                <c:pt idx="142">
                  <c:v>0.29400000000000004</c:v>
                </c:pt>
                <c:pt idx="143">
                  <c:v>0.29600000000000004</c:v>
                </c:pt>
                <c:pt idx="144">
                  <c:v>0.29800000000000004</c:v>
                </c:pt>
                <c:pt idx="145">
                  <c:v>0.3</c:v>
                </c:pt>
              </c:numCache>
            </c:numRef>
          </c:xVal>
          <c:yVal>
            <c:numRef>
              <c:f>'BSM-Greeks'!$L$15:$L$160</c:f>
              <c:numCache>
                <c:formatCode>General</c:formatCode>
                <c:ptCount val="146"/>
                <c:pt idx="0">
                  <c:v>0.19926631686040253</c:v>
                </c:pt>
                <c:pt idx="1">
                  <c:v>0.55496965615908778</c:v>
                </c:pt>
                <c:pt idx="2">
                  <c:v>1.0668754015590309</c:v>
                </c:pt>
                <c:pt idx="3">
                  <c:v>1.6567833617155954</c:v>
                </c:pt>
                <c:pt idx="4">
                  <c:v>2.2583449172355348</c:v>
                </c:pt>
                <c:pt idx="5">
                  <c:v>2.8308938054628663</c:v>
                </c:pt>
                <c:pt idx="6">
                  <c:v>3.3547273031899718</c:v>
                </c:pt>
                <c:pt idx="7">
                  <c:v>3.8233104425895412</c:v>
                </c:pt>
                <c:pt idx="8">
                  <c:v>4.2372744204257593</c:v>
                </c:pt>
                <c:pt idx="9">
                  <c:v>4.6006695253844159</c:v>
                </c:pt>
                <c:pt idx="10">
                  <c:v>4.9188561776283235</c:v>
                </c:pt>
                <c:pt idx="11">
                  <c:v>5.1974044162319499</c:v>
                </c:pt>
                <c:pt idx="12">
                  <c:v>5.4415669070282346</c:v>
                </c:pt>
                <c:pt idx="13">
                  <c:v>5.6560618957499784</c:v>
                </c:pt>
                <c:pt idx="14">
                  <c:v>5.8450159762397593</c:v>
                </c:pt>
                <c:pt idx="15">
                  <c:v>6.0119842589889618</c:v>
                </c:pt>
                <c:pt idx="16">
                  <c:v>6.1600040074791753</c:v>
                </c:pt>
                <c:pt idx="17">
                  <c:v>6.2916590832244825</c:v>
                </c:pt>
                <c:pt idx="18">
                  <c:v>6.409144073131773</c:v>
                </c:pt>
                <c:pt idx="19">
                  <c:v>6.5143231063267075</c:v>
                </c:pt>
                <c:pt idx="20">
                  <c:v>6.6087815484525629</c:v>
                </c:pt>
                <c:pt idx="21">
                  <c:v>6.6938703454440143</c:v>
                </c:pt>
                <c:pt idx="22">
                  <c:v>6.7707435213968319</c:v>
                </c:pt>
                <c:pt idx="23">
                  <c:v>6.8403896224822285</c:v>
                </c:pt>
                <c:pt idx="24">
                  <c:v>6.9036579618755249</c:v>
                </c:pt>
                <c:pt idx="25">
                  <c:v>6.9612804769096863</c:v>
                </c:pt>
                <c:pt idx="26">
                  <c:v>7.0138899218230755</c:v>
                </c:pt>
                <c:pt idx="27">
                  <c:v>7.0620350190830843</c:v>
                </c:pt>
                <c:pt idx="28">
                  <c:v>7.106193094745799</c:v>
                </c:pt>
                <c:pt idx="29">
                  <c:v>7.1467806356962251</c:v>
                </c:pt>
                <c:pt idx="30">
                  <c:v>7.1841621306498675</c:v>
                </c:pt>
                <c:pt idx="31">
                  <c:v>7.2186574925741036</c:v>
                </c:pt>
                <c:pt idx="32">
                  <c:v>7.2505483070770476</c:v>
                </c:pt>
                <c:pt idx="33">
                  <c:v>7.2800831071626542</c:v>
                </c:pt>
                <c:pt idx="34">
                  <c:v>7.3074818388940637</c:v>
                </c:pt>
                <c:pt idx="35">
                  <c:v>7.332939652890496</c:v>
                </c:pt>
                <c:pt idx="36">
                  <c:v>7.3566301328771733</c:v>
                </c:pt>
                <c:pt idx="37">
                  <c:v>7.3787080526157505</c:v>
                </c:pt>
                <c:pt idx="38">
                  <c:v>7.399311736856256</c:v>
                </c:pt>
                <c:pt idx="39">
                  <c:v>7.4185650887965631</c:v>
                </c:pt>
                <c:pt idx="40">
                  <c:v>7.4365793358985792</c:v>
                </c:pt>
                <c:pt idx="41">
                  <c:v>7.4534545372557597</c:v>
                </c:pt>
                <c:pt idx="42">
                  <c:v>7.4692808884142474</c:v>
                </c:pt>
                <c:pt idx="43">
                  <c:v>7.4841398538066271</c:v>
                </c:pt>
                <c:pt idx="44">
                  <c:v>7.498105151982231</c:v>
                </c:pt>
                <c:pt idx="45">
                  <c:v>7.511243614870537</c:v>
                </c:pt>
                <c:pt idx="46">
                  <c:v>7.5236159389202513</c:v>
                </c:pt>
                <c:pt idx="47">
                  <c:v>7.535277343245987</c:v>
                </c:pt>
                <c:pt idx="48">
                  <c:v>7.5462781475721314</c:v>
                </c:pt>
                <c:pt idx="49">
                  <c:v>7.5566642808704216</c:v>
                </c:pt>
                <c:pt idx="50">
                  <c:v>7.5664777299051451</c:v>
                </c:pt>
                <c:pt idx="51">
                  <c:v>7.5757569356191752</c:v>
                </c:pt>
                <c:pt idx="52">
                  <c:v>7.5845371441483529</c:v>
                </c:pt>
                <c:pt idx="53">
                  <c:v>7.5928507182103573</c:v>
                </c:pt>
                <c:pt idx="54">
                  <c:v>7.600727413887391</c:v>
                </c:pt>
                <c:pt idx="55">
                  <c:v>7.6081946271129226</c:v>
                </c:pt>
                <c:pt idx="56">
                  <c:v>7.6152776135316387</c:v>
                </c:pt>
                <c:pt idx="57">
                  <c:v>7.6219996849964318</c:v>
                </c:pt>
                <c:pt idx="58">
                  <c:v>7.6283823854206219</c:v>
                </c:pt>
                <c:pt idx="59">
                  <c:v>7.6344456484855812</c:v>
                </c:pt>
                <c:pt idx="60">
                  <c:v>7.6402079392208151</c:v>
                </c:pt>
                <c:pt idx="61">
                  <c:v>7.645686381380294</c:v>
                </c:pt>
                <c:pt idx="62">
                  <c:v>7.6508968721498078</c:v>
                </c:pt>
                <c:pt idx="63">
                  <c:v>7.655854185633963</c:v>
                </c:pt>
                <c:pt idx="64">
                  <c:v>7.6605720663609418</c:v>
                </c:pt>
                <c:pt idx="65">
                  <c:v>7.6650633138237652</c:v>
                </c:pt>
                <c:pt idx="66">
                  <c:v>7.6693398591247615</c:v>
                </c:pt>
                <c:pt idx="67">
                  <c:v>7.6734128344435533</c:v>
                </c:pt>
                <c:pt idx="68">
                  <c:v>7.6772926361678913</c:v>
                </c:pt>
                <c:pt idx="69">
                  <c:v>7.6809889822859674</c:v>
                </c:pt>
                <c:pt idx="70">
                  <c:v>7.6845109646397276</c:v>
                </c:pt>
                <c:pt idx="71">
                  <c:v>7.6878670965720914</c:v>
                </c:pt>
                <c:pt idx="72">
                  <c:v>7.6910653564060567</c:v>
                </c:pt>
                <c:pt idx="73">
                  <c:v>7.6941132271643937</c:v>
                </c:pt>
                <c:pt idx="74">
                  <c:v>7.6970177329211893</c:v>
                </c:pt>
                <c:pt idx="75">
                  <c:v>7.6997854720612864</c:v>
                </c:pt>
                <c:pt idx="76">
                  <c:v>7.7024226478004039</c:v>
                </c:pt>
                <c:pt idx="77">
                  <c:v>7.7049350961644265</c:v>
                </c:pt>
                <c:pt idx="78">
                  <c:v>7.707328311711052</c:v>
                </c:pt>
                <c:pt idx="79">
                  <c:v>7.7096074711713243</c:v>
                </c:pt>
                <c:pt idx="80">
                  <c:v>7.71177745519757</c:v>
                </c:pt>
                <c:pt idx="81">
                  <c:v>7.7138428684282374</c:v>
                </c:pt>
                <c:pt idx="82">
                  <c:v>7.7158080579602313</c:v>
                </c:pt>
                <c:pt idx="83">
                  <c:v>7.7176771304072673</c:v>
                </c:pt>
                <c:pt idx="84">
                  <c:v>7.719453967678362</c:v>
                </c:pt>
                <c:pt idx="85">
                  <c:v>7.7211422415217541</c:v>
                </c:pt>
                <c:pt idx="86">
                  <c:v>7.7227454270234404</c:v>
                </c:pt>
                <c:pt idx="87">
                  <c:v>7.7242668151092824</c:v>
                </c:pt>
                <c:pt idx="88">
                  <c:v>7.7257095240765778</c:v>
                </c:pt>
                <c:pt idx="89">
                  <c:v>7.7270765103749568</c:v>
                </c:pt>
                <c:pt idx="90">
                  <c:v>7.7283705785520169</c:v>
                </c:pt>
                <c:pt idx="91">
                  <c:v>7.7295943905113447</c:v>
                </c:pt>
                <c:pt idx="92">
                  <c:v>7.7307504741268502</c:v>
                </c:pt>
                <c:pt idx="93">
                  <c:v>7.7318412312585778</c:v>
                </c:pt>
                <c:pt idx="94">
                  <c:v>7.7328689452009698</c:v>
                </c:pt>
                <c:pt idx="95">
                  <c:v>7.7338357876399684</c:v>
                </c:pt>
                <c:pt idx="96">
                  <c:v>7.734743825126948</c:v>
                </c:pt>
                <c:pt idx="97">
                  <c:v>7.7355950251352041</c:v>
                </c:pt>
                <c:pt idx="98">
                  <c:v>7.7363912616972215</c:v>
                </c:pt>
                <c:pt idx="99">
                  <c:v>7.7371343206786776</c:v>
                </c:pt>
                <c:pt idx="100">
                  <c:v>7.7378259047096094</c:v>
                </c:pt>
                <c:pt idx="101">
                  <c:v>7.7384676378082702</c:v>
                </c:pt>
                <c:pt idx="102">
                  <c:v>7.7390610696790247</c:v>
                </c:pt>
                <c:pt idx="103">
                  <c:v>7.7396076797802067</c:v>
                </c:pt>
                <c:pt idx="104">
                  <c:v>7.7401088810838852</c:v>
                </c:pt>
                <c:pt idx="105">
                  <c:v>7.7405660236688973</c:v>
                </c:pt>
                <c:pt idx="106">
                  <c:v>7.7409803980215059</c:v>
                </c:pt>
                <c:pt idx="107">
                  <c:v>7.7413532381793644</c:v>
                </c:pt>
                <c:pt idx="108">
                  <c:v>7.7416857246852473</c:v>
                </c:pt>
                <c:pt idx="109">
                  <c:v>7.7419789873216445</c:v>
                </c:pt>
                <c:pt idx="110">
                  <c:v>7.742234107745098</c:v>
                </c:pt>
                <c:pt idx="111">
                  <c:v>7.7424521218958304</c:v>
                </c:pt>
                <c:pt idx="112">
                  <c:v>7.742634022334542</c:v>
                </c:pt>
                <c:pt idx="113">
                  <c:v>7.7427807603820327</c:v>
                </c:pt>
                <c:pt idx="114">
                  <c:v>7.7428932481815522</c:v>
                </c:pt>
                <c:pt idx="115">
                  <c:v>7.742972360608384</c:v>
                </c:pt>
                <c:pt idx="116">
                  <c:v>7.7430189371092624</c:v>
                </c:pt>
                <c:pt idx="117">
                  <c:v>7.7430337833907998</c:v>
                </c:pt>
                <c:pt idx="118">
                  <c:v>7.7430176730572882</c:v>
                </c:pt>
                <c:pt idx="119">
                  <c:v>7.7429713491313672</c:v>
                </c:pt>
                <c:pt idx="120">
                  <c:v>7.7428955254950012</c:v>
                </c:pt>
                <c:pt idx="121">
                  <c:v>7.7427908882752234</c:v>
                </c:pt>
                <c:pt idx="122">
                  <c:v>7.7426580971060517</c:v>
                </c:pt>
                <c:pt idx="123">
                  <c:v>7.7424977863769158</c:v>
                </c:pt>
                <c:pt idx="124">
                  <c:v>7.7423105663694187</c:v>
                </c:pt>
                <c:pt idx="125">
                  <c:v>7.7420970243764415</c:v>
                </c:pt>
                <c:pt idx="126">
                  <c:v>7.741857725721772</c:v>
                </c:pt>
                <c:pt idx="127">
                  <c:v>7.7415932147450945</c:v>
                </c:pt>
                <c:pt idx="128">
                  <c:v>7.7413040157470121</c:v>
                </c:pt>
                <c:pt idx="129">
                  <c:v>7.7409906338683427</c:v>
                </c:pt>
                <c:pt idx="130">
                  <c:v>7.740653555923231</c:v>
                </c:pt>
                <c:pt idx="131">
                  <c:v>7.7402932512136076</c:v>
                </c:pt>
                <c:pt idx="132">
                  <c:v>7.7399101722628245</c:v>
                </c:pt>
                <c:pt idx="133">
                  <c:v>7.739504755559949</c:v>
                </c:pt>
                <c:pt idx="134">
                  <c:v>7.7390774222223442</c:v>
                </c:pt>
                <c:pt idx="135">
                  <c:v>7.7386285786671323</c:v>
                </c:pt>
                <c:pt idx="136">
                  <c:v>7.7381586172098267</c:v>
                </c:pt>
                <c:pt idx="137">
                  <c:v>7.7376679166594116</c:v>
                </c:pt>
                <c:pt idx="138">
                  <c:v>7.7371568428921051</c:v>
                </c:pt>
                <c:pt idx="139">
                  <c:v>7.7366257493505159</c:v>
                </c:pt>
                <c:pt idx="140">
                  <c:v>7.7360749776014188</c:v>
                </c:pt>
                <c:pt idx="141">
                  <c:v>7.7355048577647452</c:v>
                </c:pt>
                <c:pt idx="142">
                  <c:v>7.7349157090189564</c:v>
                </c:pt>
                <c:pt idx="143">
                  <c:v>7.7343078400131589</c:v>
                </c:pt>
                <c:pt idx="144">
                  <c:v>7.733681549298085</c:v>
                </c:pt>
                <c:pt idx="145">
                  <c:v>8.8555389319206128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829376"/>
        <c:axId val="261830912"/>
      </c:scatterChart>
      <c:valAx>
        <c:axId val="261829376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261830912"/>
        <c:crosses val="autoZero"/>
        <c:crossBetween val="midCat"/>
      </c:valAx>
      <c:valAx>
        <c:axId val="261830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18293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26</xdr:row>
      <xdr:rowOff>71437</xdr:rowOff>
    </xdr:from>
    <xdr:to>
      <xdr:col>25</xdr:col>
      <xdr:colOff>200025</xdr:colOff>
      <xdr:row>63</xdr:row>
      <xdr:rowOff>104775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20</xdr:row>
      <xdr:rowOff>61912</xdr:rowOff>
    </xdr:from>
    <xdr:to>
      <xdr:col>18</xdr:col>
      <xdr:colOff>514349</xdr:colOff>
      <xdr:row>42</xdr:row>
      <xdr:rowOff>104775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447675</xdr:colOff>
          <xdr:row>3</xdr:row>
          <xdr:rowOff>9525</xdr:rowOff>
        </xdr:from>
        <xdr:to>
          <xdr:col>12</xdr:col>
          <xdr:colOff>47625</xdr:colOff>
          <xdr:row>5</xdr:row>
          <xdr:rowOff>9525</xdr:rowOff>
        </xdr:to>
        <xdr:sp macro="" textlink="">
          <xdr:nvSpPr>
            <xdr:cNvPr id="3074" name="Text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2</xdr:row>
          <xdr:rowOff>114300</xdr:rowOff>
        </xdr:from>
        <xdr:to>
          <xdr:col>9</xdr:col>
          <xdr:colOff>514350</xdr:colOff>
          <xdr:row>4</xdr:row>
          <xdr:rowOff>19050</xdr:rowOff>
        </xdr:to>
        <xdr:sp macro="" textlink="">
          <xdr:nvSpPr>
            <xdr:cNvPr id="3076" name="Label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CTRL-R 运行</a:t>
              </a: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52</xdr:row>
      <xdr:rowOff>4762</xdr:rowOff>
    </xdr:from>
    <xdr:to>
      <xdr:col>6</xdr:col>
      <xdr:colOff>142875</xdr:colOff>
      <xdr:row>68</xdr:row>
      <xdr:rowOff>4762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561975</xdr:colOff>
      <xdr:row>41</xdr:row>
      <xdr:rowOff>100012</xdr:rowOff>
    </xdr:from>
    <xdr:to>
      <xdr:col>13</xdr:col>
      <xdr:colOff>0</xdr:colOff>
      <xdr:row>57</xdr:row>
      <xdr:rowOff>100012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141</xdr:row>
      <xdr:rowOff>100012</xdr:rowOff>
    </xdr:from>
    <xdr:to>
      <xdr:col>13</xdr:col>
      <xdr:colOff>0</xdr:colOff>
      <xdr:row>156</xdr:row>
      <xdr:rowOff>142875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314325</xdr:colOff>
      <xdr:row>151</xdr:row>
      <xdr:rowOff>157162</xdr:rowOff>
    </xdr:from>
    <xdr:to>
      <xdr:col>15</xdr:col>
      <xdr:colOff>85725</xdr:colOff>
      <xdr:row>167</xdr:row>
      <xdr:rowOff>157162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9"/>
  <sheetViews>
    <sheetView topLeftCell="A13" workbookViewId="0">
      <selection activeCell="D35" sqref="D35"/>
    </sheetView>
  </sheetViews>
  <sheetFormatPr defaultRowHeight="13.5" x14ac:dyDescent="0.15"/>
  <cols>
    <col min="1" max="1" width="19.375" bestFit="1" customWidth="1"/>
    <col min="4" max="4" width="18.375" bestFit="1" customWidth="1"/>
    <col min="5" max="5" width="33.875" bestFit="1" customWidth="1"/>
    <col min="6" max="6" width="18.375" bestFit="1" customWidth="1"/>
    <col min="7" max="7" width="13.875" bestFit="1" customWidth="1"/>
  </cols>
  <sheetData>
    <row r="1" spans="1:7" x14ac:dyDescent="0.15">
      <c r="A1" t="s">
        <v>13</v>
      </c>
      <c r="B1" s="2">
        <v>2.71828</v>
      </c>
    </row>
    <row r="2" spans="1:7" x14ac:dyDescent="0.15">
      <c r="A2" t="s">
        <v>7</v>
      </c>
      <c r="B2" s="1">
        <v>300000</v>
      </c>
    </row>
    <row r="3" spans="1:7" x14ac:dyDescent="0.15">
      <c r="A3" t="s">
        <v>0</v>
      </c>
      <c r="B3" s="1">
        <v>100000</v>
      </c>
    </row>
    <row r="4" spans="1:7" x14ac:dyDescent="0.15">
      <c r="A4" t="s">
        <v>1</v>
      </c>
      <c r="B4">
        <v>49</v>
      </c>
    </row>
    <row r="5" spans="1:7" x14ac:dyDescent="0.15">
      <c r="A5" t="s">
        <v>2</v>
      </c>
      <c r="B5">
        <v>50</v>
      </c>
    </row>
    <row r="6" spans="1:7" x14ac:dyDescent="0.15">
      <c r="A6" t="s">
        <v>3</v>
      </c>
      <c r="B6">
        <v>0.05</v>
      </c>
    </row>
    <row r="7" spans="1:7" x14ac:dyDescent="0.15">
      <c r="A7" t="s">
        <v>4</v>
      </c>
      <c r="B7">
        <v>0.2</v>
      </c>
    </row>
    <row r="8" spans="1:7" x14ac:dyDescent="0.15">
      <c r="A8" t="s">
        <v>5</v>
      </c>
      <c r="B8">
        <v>0.3846</v>
      </c>
      <c r="C8" t="s">
        <v>21</v>
      </c>
    </row>
    <row r="9" spans="1:7" x14ac:dyDescent="0.15">
      <c r="A9" t="s">
        <v>6</v>
      </c>
      <c r="B9">
        <f>0.13</f>
        <v>0.13</v>
      </c>
    </row>
    <row r="10" spans="1:7" x14ac:dyDescent="0.15">
      <c r="A10" t="s">
        <v>8</v>
      </c>
      <c r="B10">
        <f>(LN(B4/B5)+(B6+0.5*B7^2)*B8)/(B7*SQRT(B8))</f>
        <v>5.4173752978308974E-2</v>
      </c>
    </row>
    <row r="11" spans="1:7" x14ac:dyDescent="0.15">
      <c r="A11" t="s">
        <v>9</v>
      </c>
      <c r="B11">
        <f>(LN(B4/B5)+(B6-0.5*B7^2)*B8)/(B7*SQRT(B8))</f>
        <v>-6.9858500891400263E-2</v>
      </c>
      <c r="C11">
        <f>B10-B7*SQRT(B8)</f>
        <v>-6.9858500891400249E-2</v>
      </c>
    </row>
    <row r="12" spans="1:7" x14ac:dyDescent="0.15">
      <c r="A12" t="s">
        <v>10</v>
      </c>
      <c r="B12">
        <f>NORMSDIST(B10)</f>
        <v>0.52160163397157611</v>
      </c>
    </row>
    <row r="13" spans="1:7" x14ac:dyDescent="0.15">
      <c r="A13" t="s">
        <v>11</v>
      </c>
      <c r="B13">
        <f>NORMSDIST(B11)</f>
        <v>0.47215314194207253</v>
      </c>
    </row>
    <row r="14" spans="1:7" x14ac:dyDescent="0.15">
      <c r="A14" t="s">
        <v>12</v>
      </c>
      <c r="B14">
        <f>B4*B12-B5*POWER(B1,-B6*B8)*B13</f>
        <v>2.4004607874140973</v>
      </c>
    </row>
    <row r="16" spans="1:7" x14ac:dyDescent="0.15">
      <c r="A16" t="s">
        <v>14</v>
      </c>
      <c r="B16" t="s">
        <v>15</v>
      </c>
      <c r="C16" t="s">
        <v>16</v>
      </c>
      <c r="D16" t="s">
        <v>17</v>
      </c>
      <c r="E16" t="s">
        <v>19</v>
      </c>
      <c r="F16" t="s">
        <v>18</v>
      </c>
      <c r="G16" t="s">
        <v>20</v>
      </c>
    </row>
    <row r="17" spans="1:7" x14ac:dyDescent="0.15">
      <c r="A17">
        <v>0</v>
      </c>
      <c r="B17">
        <f>B4</f>
        <v>49</v>
      </c>
      <c r="C17">
        <f>ROUND(NORMSDIST((LN(B17/$B$5)+($B$6+0.5*$B$7^2)*($B$8-A17/52))/($B$7*SQRT(($B$8-A17/52)))),3)</f>
        <v>0.52200000000000002</v>
      </c>
      <c r="D17">
        <f>C17*$B$3</f>
        <v>52200</v>
      </c>
      <c r="E17">
        <f>D17*B17/1000</f>
        <v>2557.8000000000002</v>
      </c>
      <c r="F17">
        <f>E17</f>
        <v>2557.8000000000002</v>
      </c>
      <c r="G17">
        <f>ROUND(F17*$B$6*1/52,1)</f>
        <v>2.5</v>
      </c>
    </row>
    <row r="18" spans="1:7" x14ac:dyDescent="0.15">
      <c r="A18">
        <v>1</v>
      </c>
      <c r="B18">
        <v>48.12</v>
      </c>
      <c r="C18">
        <f>ROUND(NORMSDIST((LN(B18/$B$5)+($B$6+0.5*$B$7^2)*($B$8-A18/52))/($B$7*SQRT(($B$8-A18/52)))),3)</f>
        <v>0.45800000000000002</v>
      </c>
      <c r="D18">
        <f>C18*$B$3-SUM(D$16:D17)</f>
        <v>-6400</v>
      </c>
      <c r="E18">
        <f>ROUND(D18*B18/1000,1)</f>
        <v>-308</v>
      </c>
      <c r="F18">
        <f>F17+E18+G17</f>
        <v>2252.3000000000002</v>
      </c>
      <c r="G18">
        <f>ROUND(F18*$B$6*1/52,1)</f>
        <v>2.2000000000000002</v>
      </c>
    </row>
    <row r="19" spans="1:7" x14ac:dyDescent="0.15">
      <c r="A19">
        <v>2</v>
      </c>
      <c r="B19">
        <v>47.37</v>
      </c>
      <c r="C19">
        <f t="shared" ref="C19:C36" si="0">ROUND(NORMSDIST((LN(B19/$B$5)+($B$6+0.5*$B$7^2)*($B$8-A19/52))/($B$7*SQRT(($B$8-A19/52)))),3)</f>
        <v>0.4</v>
      </c>
      <c r="D19">
        <f>C19*$B$3-SUM(D$16:D18)</f>
        <v>-5800</v>
      </c>
      <c r="E19">
        <f t="shared" ref="E19:E37" si="1">ROUND(D19*B19/1000,1)</f>
        <v>-274.7</v>
      </c>
      <c r="F19">
        <f t="shared" ref="F19:F37" si="2">F18+E19+G18</f>
        <v>1979.8000000000002</v>
      </c>
      <c r="G19">
        <f t="shared" ref="G19:G36" si="3">ROUND(F19*$B$6*1/52,1)</f>
        <v>1.9</v>
      </c>
    </row>
    <row r="20" spans="1:7" x14ac:dyDescent="0.15">
      <c r="A20">
        <v>3</v>
      </c>
      <c r="B20">
        <v>50.25</v>
      </c>
      <c r="C20">
        <f t="shared" si="0"/>
        <v>0.59599999999999997</v>
      </c>
      <c r="D20">
        <f>C20*$B$3-SUM(D$16:D19)</f>
        <v>19600</v>
      </c>
      <c r="E20">
        <f t="shared" si="1"/>
        <v>984.9</v>
      </c>
      <c r="F20">
        <f t="shared" si="2"/>
        <v>2966.6000000000004</v>
      </c>
      <c r="G20">
        <f t="shared" si="3"/>
        <v>2.9</v>
      </c>
    </row>
    <row r="21" spans="1:7" x14ac:dyDescent="0.15">
      <c r="A21">
        <v>4</v>
      </c>
      <c r="B21">
        <v>51.75</v>
      </c>
      <c r="C21">
        <f t="shared" si="0"/>
        <v>0.69299999999999995</v>
      </c>
      <c r="D21">
        <f>C21*$B$3-SUM(D$16:D20)</f>
        <v>9700</v>
      </c>
      <c r="E21">
        <f t="shared" si="1"/>
        <v>502</v>
      </c>
      <c r="F21">
        <f t="shared" si="2"/>
        <v>3471.5000000000005</v>
      </c>
      <c r="G21">
        <f t="shared" si="3"/>
        <v>3.3</v>
      </c>
    </row>
    <row r="22" spans="1:7" x14ac:dyDescent="0.15">
      <c r="A22">
        <v>5</v>
      </c>
      <c r="B22">
        <v>53.12</v>
      </c>
      <c r="C22">
        <f t="shared" si="0"/>
        <v>0.77400000000000002</v>
      </c>
      <c r="D22">
        <f>C22*$B$3-SUM(D$16:D21)</f>
        <v>8100</v>
      </c>
      <c r="E22">
        <f t="shared" si="1"/>
        <v>430.3</v>
      </c>
      <c r="F22">
        <f t="shared" si="2"/>
        <v>3905.1000000000008</v>
      </c>
      <c r="G22">
        <f t="shared" si="3"/>
        <v>3.8</v>
      </c>
    </row>
    <row r="23" spans="1:7" x14ac:dyDescent="0.15">
      <c r="A23">
        <v>6</v>
      </c>
      <c r="B23">
        <v>53</v>
      </c>
      <c r="C23">
        <f t="shared" si="0"/>
        <v>0.77100000000000002</v>
      </c>
      <c r="D23">
        <f>C23*$B$3-SUM(D$16:D22)</f>
        <v>-300</v>
      </c>
      <c r="E23">
        <f t="shared" si="1"/>
        <v>-15.9</v>
      </c>
      <c r="F23">
        <f t="shared" si="2"/>
        <v>3893.0000000000009</v>
      </c>
      <c r="G23">
        <f t="shared" si="3"/>
        <v>3.7</v>
      </c>
    </row>
    <row r="24" spans="1:7" x14ac:dyDescent="0.15">
      <c r="A24">
        <v>7</v>
      </c>
      <c r="B24">
        <v>51.87</v>
      </c>
      <c r="C24">
        <f t="shared" si="0"/>
        <v>0.70599999999999996</v>
      </c>
      <c r="D24">
        <f>C24*$B$3-SUM(D$16:D23)</f>
        <v>-6500</v>
      </c>
      <c r="E24">
        <f t="shared" si="1"/>
        <v>-337.2</v>
      </c>
      <c r="F24">
        <f t="shared" si="2"/>
        <v>3559.5000000000009</v>
      </c>
      <c r="G24">
        <f t="shared" si="3"/>
        <v>3.4</v>
      </c>
    </row>
    <row r="25" spans="1:7" x14ac:dyDescent="0.15">
      <c r="A25">
        <v>8</v>
      </c>
      <c r="B25">
        <v>51.38</v>
      </c>
      <c r="C25">
        <f t="shared" si="0"/>
        <v>0.67400000000000004</v>
      </c>
      <c r="D25">
        <f>C25*$B$3-SUM(D$16:D24)</f>
        <v>-3200</v>
      </c>
      <c r="E25">
        <f t="shared" si="1"/>
        <v>-164.4</v>
      </c>
      <c r="F25">
        <f t="shared" si="2"/>
        <v>3398.5000000000009</v>
      </c>
      <c r="G25">
        <f t="shared" si="3"/>
        <v>3.3</v>
      </c>
    </row>
    <row r="26" spans="1:7" x14ac:dyDescent="0.15">
      <c r="A26">
        <v>9</v>
      </c>
      <c r="B26">
        <v>53</v>
      </c>
      <c r="C26">
        <f t="shared" si="0"/>
        <v>0.78700000000000003</v>
      </c>
      <c r="D26">
        <f>C26*$B$3-SUM(D$16:D25)</f>
        <v>11300</v>
      </c>
      <c r="E26">
        <f t="shared" si="1"/>
        <v>598.9</v>
      </c>
      <c r="F26">
        <f t="shared" si="2"/>
        <v>4000.7000000000012</v>
      </c>
      <c r="G26">
        <f t="shared" si="3"/>
        <v>3.8</v>
      </c>
    </row>
    <row r="27" spans="1:7" x14ac:dyDescent="0.15">
      <c r="A27">
        <v>10</v>
      </c>
      <c r="B27">
        <v>49.88</v>
      </c>
      <c r="C27">
        <f t="shared" si="0"/>
        <v>0.55000000000000004</v>
      </c>
      <c r="D27">
        <f>C27*$B$3-SUM(D$16:D26)</f>
        <v>-23699.999999999993</v>
      </c>
      <c r="E27">
        <f t="shared" si="1"/>
        <v>-1182.2</v>
      </c>
      <c r="F27">
        <f t="shared" si="2"/>
        <v>2822.3000000000011</v>
      </c>
      <c r="G27">
        <f t="shared" si="3"/>
        <v>2.7</v>
      </c>
    </row>
    <row r="28" spans="1:7" x14ac:dyDescent="0.15">
      <c r="A28">
        <v>11</v>
      </c>
      <c r="B28">
        <v>48.5</v>
      </c>
      <c r="C28">
        <f t="shared" si="0"/>
        <v>0.41299999999999998</v>
      </c>
      <c r="D28">
        <f>C28*$B$3-SUM(D$16:D27)</f>
        <v>-13700.000000000007</v>
      </c>
      <c r="E28">
        <f t="shared" si="1"/>
        <v>-664.5</v>
      </c>
      <c r="F28">
        <f t="shared" si="2"/>
        <v>2160.5000000000009</v>
      </c>
      <c r="G28">
        <f t="shared" si="3"/>
        <v>2.1</v>
      </c>
    </row>
    <row r="29" spans="1:7" x14ac:dyDescent="0.15">
      <c r="A29">
        <v>12</v>
      </c>
      <c r="B29">
        <v>49.88</v>
      </c>
      <c r="C29">
        <f t="shared" si="0"/>
        <v>0.54200000000000004</v>
      </c>
      <c r="D29">
        <f>C29*$B$3-SUM(D$16:D28)</f>
        <v>12900.000000000007</v>
      </c>
      <c r="E29">
        <f t="shared" si="1"/>
        <v>643.5</v>
      </c>
      <c r="F29">
        <f t="shared" si="2"/>
        <v>2806.1000000000008</v>
      </c>
      <c r="G29">
        <f t="shared" si="3"/>
        <v>2.7</v>
      </c>
    </row>
    <row r="30" spans="1:7" x14ac:dyDescent="0.15">
      <c r="A30">
        <v>13</v>
      </c>
      <c r="B30">
        <v>50.37</v>
      </c>
      <c r="C30">
        <f t="shared" si="0"/>
        <v>0.59099999999999997</v>
      </c>
      <c r="D30">
        <f>C30*$B$3-SUM(D$16:D29)</f>
        <v>4899.9999999999927</v>
      </c>
      <c r="E30">
        <f t="shared" si="1"/>
        <v>246.8</v>
      </c>
      <c r="F30">
        <f t="shared" si="2"/>
        <v>3055.6000000000008</v>
      </c>
      <c r="G30">
        <f t="shared" si="3"/>
        <v>2.9</v>
      </c>
    </row>
    <row r="31" spans="1:7" x14ac:dyDescent="0.15">
      <c r="A31">
        <v>14</v>
      </c>
      <c r="B31">
        <v>52.13</v>
      </c>
      <c r="C31">
        <f t="shared" si="0"/>
        <v>0.76800000000000002</v>
      </c>
      <c r="D31">
        <f>C31*$B$3-SUM(D$16:D30)</f>
        <v>17700</v>
      </c>
      <c r="E31">
        <f t="shared" si="1"/>
        <v>922.7</v>
      </c>
      <c r="F31">
        <f t="shared" si="2"/>
        <v>3981.2000000000012</v>
      </c>
      <c r="G31">
        <f t="shared" si="3"/>
        <v>3.8</v>
      </c>
    </row>
    <row r="32" spans="1:7" x14ac:dyDescent="0.15">
      <c r="A32">
        <v>15</v>
      </c>
      <c r="B32">
        <v>51.88</v>
      </c>
      <c r="C32">
        <f t="shared" si="0"/>
        <v>0.75900000000000001</v>
      </c>
      <c r="D32">
        <f>C32*$B$3-SUM(D$16:D31)</f>
        <v>-900</v>
      </c>
      <c r="E32">
        <f t="shared" si="1"/>
        <v>-46.7</v>
      </c>
      <c r="F32">
        <f t="shared" si="2"/>
        <v>3938.3000000000015</v>
      </c>
      <c r="G32">
        <f t="shared" si="3"/>
        <v>3.8</v>
      </c>
    </row>
    <row r="33" spans="1:8" x14ac:dyDescent="0.15">
      <c r="A33">
        <v>16</v>
      </c>
      <c r="B33">
        <v>52.87</v>
      </c>
      <c r="C33">
        <f t="shared" si="0"/>
        <v>0.86499999999999999</v>
      </c>
      <c r="D33">
        <f>C33*$B$3-SUM(D$16:D32)</f>
        <v>10600</v>
      </c>
      <c r="E33">
        <f t="shared" si="1"/>
        <v>560.4</v>
      </c>
      <c r="F33">
        <f t="shared" si="2"/>
        <v>4502.5000000000018</v>
      </c>
      <c r="G33">
        <f t="shared" si="3"/>
        <v>4.3</v>
      </c>
    </row>
    <row r="34" spans="1:8" x14ac:dyDescent="0.15">
      <c r="A34">
        <v>17</v>
      </c>
      <c r="B34">
        <v>54.87</v>
      </c>
      <c r="C34">
        <f t="shared" si="0"/>
        <v>0.97799999999999998</v>
      </c>
      <c r="D34">
        <f>C34*$B$3-SUM(D$16:D33)</f>
        <v>11300</v>
      </c>
      <c r="E34">
        <f t="shared" si="1"/>
        <v>620</v>
      </c>
      <c r="F34">
        <f t="shared" si="2"/>
        <v>5126.800000000002</v>
      </c>
      <c r="G34">
        <f t="shared" si="3"/>
        <v>4.9000000000000004</v>
      </c>
    </row>
    <row r="35" spans="1:8" x14ac:dyDescent="0.15">
      <c r="A35">
        <v>18</v>
      </c>
      <c r="B35">
        <v>54.62</v>
      </c>
      <c r="C35">
        <f t="shared" si="0"/>
        <v>0.99</v>
      </c>
      <c r="D35">
        <f>C35*$B$3-SUM(D$16:D34)</f>
        <v>1200</v>
      </c>
      <c r="E35">
        <f t="shared" si="1"/>
        <v>65.5</v>
      </c>
      <c r="F35">
        <f t="shared" si="2"/>
        <v>5197.2000000000016</v>
      </c>
      <c r="G35">
        <f t="shared" si="3"/>
        <v>5</v>
      </c>
    </row>
    <row r="36" spans="1:8" x14ac:dyDescent="0.15">
      <c r="A36">
        <v>19</v>
      </c>
      <c r="B36">
        <v>55.87</v>
      </c>
      <c r="C36">
        <f t="shared" si="0"/>
        <v>1</v>
      </c>
      <c r="D36">
        <f>C36*$B$3-SUM(D$16:D35)</f>
        <v>1000</v>
      </c>
      <c r="E36">
        <f t="shared" si="1"/>
        <v>55.9</v>
      </c>
      <c r="F36">
        <f t="shared" si="2"/>
        <v>5258.1000000000013</v>
      </c>
      <c r="G36">
        <f t="shared" si="3"/>
        <v>5.0999999999999996</v>
      </c>
    </row>
    <row r="37" spans="1:8" x14ac:dyDescent="0.15">
      <c r="A37" s="3">
        <v>20</v>
      </c>
      <c r="B37" s="3">
        <v>57.25</v>
      </c>
      <c r="C37" s="3">
        <v>1</v>
      </c>
      <c r="D37" s="3">
        <v>0</v>
      </c>
      <c r="E37" s="3">
        <f t="shared" si="1"/>
        <v>0</v>
      </c>
      <c r="F37" s="3">
        <f t="shared" si="2"/>
        <v>5263.2000000000016</v>
      </c>
      <c r="G37" s="3"/>
    </row>
    <row r="38" spans="1:8" x14ac:dyDescent="0.15">
      <c r="B38" t="s">
        <v>22</v>
      </c>
      <c r="D38">
        <f>SUM(D17:D37)</f>
        <v>100000</v>
      </c>
      <c r="F38">
        <f>B5*D38/1000</f>
        <v>5000</v>
      </c>
      <c r="G38" t="s">
        <v>25</v>
      </c>
      <c r="H38" t="s">
        <v>26</v>
      </c>
    </row>
    <row r="39" spans="1:8" x14ac:dyDescent="0.15">
      <c r="E39" t="s">
        <v>23</v>
      </c>
      <c r="F39" s="1">
        <f>(F37-F38)*1000</f>
        <v>263200.00000000163</v>
      </c>
      <c r="G39" s="1">
        <f>F39/POWER($B$1,B6*B8)</f>
        <v>258187.02163820722</v>
      </c>
      <c r="H39" s="1">
        <f>B14*B3</f>
        <v>240046.07874140973</v>
      </c>
    </row>
    <row r="40" spans="1:8" x14ac:dyDescent="0.15">
      <c r="E40" t="s">
        <v>7</v>
      </c>
      <c r="F40" s="1">
        <v>300000</v>
      </c>
    </row>
    <row r="41" spans="1:8" x14ac:dyDescent="0.15">
      <c r="E41" t="s">
        <v>24</v>
      </c>
      <c r="F41" s="1">
        <f>F40-F39</f>
        <v>36799.99999999837</v>
      </c>
    </row>
    <row r="44" spans="1:8" x14ac:dyDescent="0.15">
      <c r="A44" t="s">
        <v>14</v>
      </c>
      <c r="B44" t="s">
        <v>15</v>
      </c>
      <c r="C44" t="s">
        <v>16</v>
      </c>
      <c r="D44" t="s">
        <v>17</v>
      </c>
      <c r="E44" t="s">
        <v>19</v>
      </c>
      <c r="F44" t="s">
        <v>18</v>
      </c>
      <c r="G44" t="s">
        <v>20</v>
      </c>
    </row>
    <row r="45" spans="1:8" x14ac:dyDescent="0.15">
      <c r="A45">
        <v>0</v>
      </c>
      <c r="B45">
        <v>49</v>
      </c>
      <c r="C45">
        <f>ROUND(NORMSDIST((LN(B45/$B$5)+($B$6+0.5*$B$7^2)*($B$8-A45/52))/($B$7*SQRT(($B$8-A45/52)))),3)</f>
        <v>0.52200000000000002</v>
      </c>
      <c r="D45">
        <f>C45*$B$3</f>
        <v>52200</v>
      </c>
      <c r="E45">
        <f>D45*B45/1000</f>
        <v>2557.8000000000002</v>
      </c>
      <c r="F45">
        <f>E45</f>
        <v>2557.8000000000002</v>
      </c>
      <c r="G45">
        <f>ROUND(F45*$B$6*1/52,1)</f>
        <v>2.5</v>
      </c>
    </row>
    <row r="46" spans="1:8" x14ac:dyDescent="0.15">
      <c r="A46">
        <v>1</v>
      </c>
      <c r="B46">
        <v>49.75</v>
      </c>
      <c r="C46">
        <f>ROUND(NORMSDIST((LN(B46/$B$5)+($B$6+0.5*$B$7^2)*($B$8-A46/52))/($B$7*SQRT(($B$8-A46/52)))),3)</f>
        <v>0.56799999999999995</v>
      </c>
      <c r="D46">
        <f>C46*$B$3-SUM(D$45:D45)</f>
        <v>4599.9999999999927</v>
      </c>
      <c r="E46">
        <f>ROUND(D46*B46/1000,1)</f>
        <v>228.9</v>
      </c>
      <c r="F46">
        <f>F45+E46+G45</f>
        <v>2789.2000000000003</v>
      </c>
      <c r="G46">
        <f>ROUND(F46*$B$6*1/52,1)</f>
        <v>2.7</v>
      </c>
    </row>
    <row r="47" spans="1:8" x14ac:dyDescent="0.15">
      <c r="A47">
        <v>2</v>
      </c>
      <c r="B47">
        <v>52</v>
      </c>
      <c r="C47">
        <f t="shared" ref="C47:C64" si="4">ROUND(NORMSDIST((LN(B47/$B$5)+($B$6+0.5*$B$7^2)*($B$8-A47/52))/($B$7*SQRT(($B$8-A47/52)))),3)</f>
        <v>0.70499999999999996</v>
      </c>
      <c r="D47">
        <f>C47*$B$3-SUM(D$45:D46)</f>
        <v>13700.000000000007</v>
      </c>
      <c r="E47">
        <f t="shared" ref="E47:E65" si="5">ROUND(D47*B47/1000,1)</f>
        <v>712.4</v>
      </c>
      <c r="F47">
        <f t="shared" ref="F47:F65" si="6">F46+E47+G46</f>
        <v>3504.3</v>
      </c>
      <c r="G47">
        <f t="shared" ref="G47:G65" si="7">ROUND(F47*$B$6*1/52,1)</f>
        <v>3.4</v>
      </c>
    </row>
    <row r="48" spans="1:8" x14ac:dyDescent="0.15">
      <c r="A48">
        <v>3</v>
      </c>
      <c r="B48">
        <v>50</v>
      </c>
      <c r="C48">
        <f t="shared" si="4"/>
        <v>0.57899999999999996</v>
      </c>
      <c r="D48">
        <f>C48*$B$3-SUM(D$45:D47)</f>
        <v>-12600.000000000007</v>
      </c>
      <c r="E48">
        <f t="shared" si="5"/>
        <v>-630</v>
      </c>
      <c r="F48">
        <f t="shared" si="6"/>
        <v>2877.7000000000003</v>
      </c>
      <c r="G48">
        <f t="shared" si="7"/>
        <v>2.8</v>
      </c>
    </row>
    <row r="49" spans="1:7" x14ac:dyDescent="0.15">
      <c r="A49">
        <v>4</v>
      </c>
      <c r="B49">
        <v>48.38</v>
      </c>
      <c r="C49">
        <f t="shared" si="4"/>
        <v>0.45900000000000002</v>
      </c>
      <c r="D49">
        <f>C49*$B$3-SUM(D$45:D48)</f>
        <v>-11999.999999999993</v>
      </c>
      <c r="E49">
        <f t="shared" si="5"/>
        <v>-580.6</v>
      </c>
      <c r="F49">
        <f t="shared" si="6"/>
        <v>2299.9000000000005</v>
      </c>
      <c r="G49">
        <f t="shared" si="7"/>
        <v>2.2000000000000002</v>
      </c>
    </row>
    <row r="50" spans="1:7" x14ac:dyDescent="0.15">
      <c r="A50">
        <v>5</v>
      </c>
      <c r="B50">
        <v>48.25</v>
      </c>
      <c r="C50">
        <f t="shared" si="4"/>
        <v>0.443</v>
      </c>
      <c r="D50">
        <f>C50*$B$3-SUM(D$45:D49)</f>
        <v>-1600</v>
      </c>
      <c r="E50">
        <f t="shared" si="5"/>
        <v>-77.2</v>
      </c>
      <c r="F50">
        <f t="shared" si="6"/>
        <v>2224.9000000000005</v>
      </c>
      <c r="G50">
        <f t="shared" si="7"/>
        <v>2.1</v>
      </c>
    </row>
    <row r="51" spans="1:7" x14ac:dyDescent="0.15">
      <c r="A51">
        <v>6</v>
      </c>
      <c r="B51">
        <v>48.75</v>
      </c>
      <c r="C51">
        <f t="shared" si="4"/>
        <v>0.47499999999999998</v>
      </c>
      <c r="D51">
        <f>C51*$B$3-SUM(D$45:D50)</f>
        <v>3200</v>
      </c>
      <c r="E51">
        <f t="shared" si="5"/>
        <v>156</v>
      </c>
      <c r="F51">
        <f t="shared" si="6"/>
        <v>2383.0000000000005</v>
      </c>
      <c r="G51">
        <f t="shared" si="7"/>
        <v>2.2999999999999998</v>
      </c>
    </row>
    <row r="52" spans="1:7" x14ac:dyDescent="0.15">
      <c r="A52">
        <v>7</v>
      </c>
      <c r="B52">
        <v>49.63</v>
      </c>
      <c r="C52">
        <f t="shared" si="4"/>
        <v>0.54</v>
      </c>
      <c r="D52">
        <f>C52*$B$3-SUM(D$45:D51)</f>
        <v>6500</v>
      </c>
      <c r="E52">
        <f t="shared" si="5"/>
        <v>322.60000000000002</v>
      </c>
      <c r="F52">
        <f t="shared" si="6"/>
        <v>2707.9000000000005</v>
      </c>
      <c r="G52">
        <f t="shared" si="7"/>
        <v>2.6</v>
      </c>
    </row>
    <row r="53" spans="1:7" x14ac:dyDescent="0.15">
      <c r="A53">
        <v>8</v>
      </c>
      <c r="B53">
        <v>48.25</v>
      </c>
      <c r="C53">
        <f t="shared" si="4"/>
        <v>0.42</v>
      </c>
      <c r="D53">
        <f>C53*$B$3-SUM(D$45:D52)</f>
        <v>-12000</v>
      </c>
      <c r="E53">
        <f t="shared" si="5"/>
        <v>-579</v>
      </c>
      <c r="F53">
        <f t="shared" si="6"/>
        <v>2131.5000000000005</v>
      </c>
      <c r="G53">
        <f t="shared" si="7"/>
        <v>2</v>
      </c>
    </row>
    <row r="54" spans="1:7" x14ac:dyDescent="0.15">
      <c r="A54">
        <v>9</v>
      </c>
      <c r="B54">
        <v>48.25</v>
      </c>
      <c r="C54">
        <f t="shared" si="4"/>
        <v>0.41</v>
      </c>
      <c r="D54">
        <f>C54*$B$3-SUM(D$45:D53)</f>
        <v>-1000</v>
      </c>
      <c r="E54">
        <f>-48.2</f>
        <v>-48.2</v>
      </c>
      <c r="F54">
        <f>2085.4</f>
        <v>2085.4</v>
      </c>
      <c r="G54">
        <f t="shared" si="7"/>
        <v>2</v>
      </c>
    </row>
    <row r="55" spans="1:7" x14ac:dyDescent="0.15">
      <c r="A55">
        <v>10</v>
      </c>
      <c r="B55">
        <v>51.12</v>
      </c>
      <c r="C55">
        <f t="shared" si="4"/>
        <v>0.65800000000000003</v>
      </c>
      <c r="D55">
        <f>C55*$B$3-SUM(D$45:D54)</f>
        <v>24800</v>
      </c>
      <c r="E55">
        <f t="shared" si="5"/>
        <v>1267.8</v>
      </c>
      <c r="F55">
        <f t="shared" si="6"/>
        <v>3355.2</v>
      </c>
      <c r="G55">
        <f t="shared" si="7"/>
        <v>3.2</v>
      </c>
    </row>
    <row r="56" spans="1:7" x14ac:dyDescent="0.15">
      <c r="A56">
        <v>11</v>
      </c>
      <c r="B56">
        <v>51.5</v>
      </c>
      <c r="C56">
        <f t="shared" si="4"/>
        <v>0.69199999999999995</v>
      </c>
      <c r="D56">
        <f>C56*$B$3-SUM(D$45:D55)</f>
        <v>3400</v>
      </c>
      <c r="E56">
        <f t="shared" si="5"/>
        <v>175.1</v>
      </c>
      <c r="F56">
        <f t="shared" si="6"/>
        <v>3533.4999999999995</v>
      </c>
      <c r="G56">
        <f t="shared" si="7"/>
        <v>3.4</v>
      </c>
    </row>
    <row r="57" spans="1:7" x14ac:dyDescent="0.15">
      <c r="A57">
        <v>12</v>
      </c>
      <c r="B57">
        <v>49.88</v>
      </c>
      <c r="C57">
        <f t="shared" si="4"/>
        <v>0.54200000000000004</v>
      </c>
      <c r="D57">
        <f>C57*$B$3-SUM(D$45:D56)</f>
        <v>-14999.999999999993</v>
      </c>
      <c r="E57">
        <f t="shared" si="5"/>
        <v>-748.2</v>
      </c>
      <c r="F57">
        <f t="shared" si="6"/>
        <v>2788.6999999999994</v>
      </c>
      <c r="G57">
        <f t="shared" si="7"/>
        <v>2.7</v>
      </c>
    </row>
    <row r="58" spans="1:7" x14ac:dyDescent="0.15">
      <c r="A58">
        <v>13</v>
      </c>
      <c r="B58">
        <v>49.88</v>
      </c>
      <c r="C58">
        <f t="shared" si="4"/>
        <v>0.53800000000000003</v>
      </c>
      <c r="D58">
        <f>C58*$B$3-SUM(D$45:D57)</f>
        <v>-400.00000000000728</v>
      </c>
      <c r="E58">
        <f t="shared" si="5"/>
        <v>-20</v>
      </c>
      <c r="F58">
        <f t="shared" si="6"/>
        <v>2771.3999999999992</v>
      </c>
      <c r="G58">
        <f t="shared" si="7"/>
        <v>2.7</v>
      </c>
    </row>
    <row r="59" spans="1:7" x14ac:dyDescent="0.15">
      <c r="A59">
        <v>14</v>
      </c>
      <c r="B59">
        <v>48.75</v>
      </c>
      <c r="C59">
        <f t="shared" si="4"/>
        <v>0.4</v>
      </c>
      <c r="D59">
        <f>C59*$B$3-SUM(D$45:D58)</f>
        <v>-13800</v>
      </c>
      <c r="E59">
        <f t="shared" si="5"/>
        <v>-672.8</v>
      </c>
      <c r="F59">
        <f t="shared" si="6"/>
        <v>2101.2999999999993</v>
      </c>
      <c r="G59">
        <f t="shared" si="7"/>
        <v>2</v>
      </c>
    </row>
    <row r="60" spans="1:7" x14ac:dyDescent="0.15">
      <c r="A60">
        <v>15</v>
      </c>
      <c r="B60">
        <v>47.5</v>
      </c>
      <c r="C60">
        <f t="shared" si="4"/>
        <v>0.23599999999999999</v>
      </c>
      <c r="D60">
        <f>C60*$B$3-SUM(D$45:D59)</f>
        <v>-16400</v>
      </c>
      <c r="E60">
        <f t="shared" si="5"/>
        <v>-779</v>
      </c>
      <c r="F60">
        <f t="shared" si="6"/>
        <v>1324.2999999999993</v>
      </c>
      <c r="G60">
        <f t="shared" si="7"/>
        <v>1.3</v>
      </c>
    </row>
    <row r="61" spans="1:7" x14ac:dyDescent="0.15">
      <c r="A61">
        <v>16</v>
      </c>
      <c r="B61">
        <v>48</v>
      </c>
      <c r="C61">
        <f t="shared" si="4"/>
        <v>0.26100000000000001</v>
      </c>
      <c r="D61">
        <f>C61*$B$3-SUM(D$45:D60)</f>
        <v>2500</v>
      </c>
      <c r="E61">
        <f t="shared" si="5"/>
        <v>120</v>
      </c>
      <c r="F61">
        <f t="shared" si="6"/>
        <v>1445.5999999999992</v>
      </c>
      <c r="G61">
        <f t="shared" si="7"/>
        <v>1.4</v>
      </c>
    </row>
    <row r="62" spans="1:7" x14ac:dyDescent="0.15">
      <c r="A62">
        <v>17</v>
      </c>
      <c r="B62">
        <v>46.25</v>
      </c>
      <c r="C62">
        <f t="shared" si="4"/>
        <v>6.2E-2</v>
      </c>
      <c r="D62">
        <f>C62*$B$3-SUM(D$45:D61)</f>
        <v>-19900</v>
      </c>
      <c r="E62">
        <f t="shared" si="5"/>
        <v>-920.4</v>
      </c>
      <c r="F62">
        <f t="shared" si="6"/>
        <v>526.59999999999923</v>
      </c>
      <c r="G62">
        <f t="shared" si="7"/>
        <v>0.5</v>
      </c>
    </row>
    <row r="63" spans="1:7" x14ac:dyDescent="0.15">
      <c r="A63">
        <v>18</v>
      </c>
      <c r="B63">
        <v>48.13</v>
      </c>
      <c r="C63">
        <f t="shared" si="4"/>
        <v>0.183</v>
      </c>
      <c r="D63">
        <f>C63*$B$3-SUM(D$45:D62)</f>
        <v>12100</v>
      </c>
      <c r="E63">
        <f t="shared" si="5"/>
        <v>582.4</v>
      </c>
      <c r="F63">
        <f t="shared" si="6"/>
        <v>1109.4999999999991</v>
      </c>
      <c r="G63">
        <f t="shared" si="7"/>
        <v>1.1000000000000001</v>
      </c>
    </row>
    <row r="64" spans="1:7" x14ac:dyDescent="0.15">
      <c r="A64">
        <v>19</v>
      </c>
      <c r="B64">
        <v>46.63</v>
      </c>
      <c r="C64">
        <f t="shared" si="4"/>
        <v>7.0000000000000001E-3</v>
      </c>
      <c r="D64">
        <f>C64*$B$3-SUM(D$45:D63)</f>
        <v>-17600</v>
      </c>
      <c r="E64">
        <f t="shared" si="5"/>
        <v>-820.7</v>
      </c>
      <c r="F64">
        <f t="shared" si="6"/>
        <v>289.89999999999907</v>
      </c>
      <c r="G64">
        <f t="shared" si="7"/>
        <v>0.3</v>
      </c>
    </row>
    <row r="65" spans="1:8" x14ac:dyDescent="0.15">
      <c r="A65" s="3">
        <v>20</v>
      </c>
      <c r="B65" s="3">
        <v>48.12</v>
      </c>
      <c r="C65" s="3">
        <v>0</v>
      </c>
      <c r="D65" s="3">
        <f>C65*$B$3-SUM(D$45:D64)</f>
        <v>-700</v>
      </c>
      <c r="E65" s="3">
        <f t="shared" si="5"/>
        <v>-33.700000000000003</v>
      </c>
      <c r="F65" s="3">
        <f t="shared" si="6"/>
        <v>256.49999999999909</v>
      </c>
      <c r="G65" s="3">
        <f t="shared" si="7"/>
        <v>0.2</v>
      </c>
    </row>
    <row r="66" spans="1:8" x14ac:dyDescent="0.15">
      <c r="B66" t="s">
        <v>22</v>
      </c>
      <c r="D66">
        <f>SUM(D45:D65)</f>
        <v>0</v>
      </c>
      <c r="F66">
        <f>B33*D66/1000</f>
        <v>0</v>
      </c>
      <c r="G66" t="s">
        <v>25</v>
      </c>
      <c r="H66" t="s">
        <v>26</v>
      </c>
    </row>
    <row r="67" spans="1:8" x14ac:dyDescent="0.15">
      <c r="E67" t="s">
        <v>23</v>
      </c>
      <c r="F67" s="1">
        <f>(F65-F66)*1000</f>
        <v>256499.9999999991</v>
      </c>
      <c r="G67" s="1" t="e">
        <f>F67/POWER($B$1,B34*B36)</f>
        <v>#NUM!</v>
      </c>
      <c r="H67" s="1">
        <f>B42*B31</f>
        <v>0</v>
      </c>
    </row>
    <row r="68" spans="1:8" x14ac:dyDescent="0.15">
      <c r="E68" t="s">
        <v>7</v>
      </c>
      <c r="F68" s="1">
        <v>300000</v>
      </c>
    </row>
    <row r="69" spans="1:8" x14ac:dyDescent="0.15">
      <c r="E69" t="s">
        <v>24</v>
      </c>
      <c r="F69" s="1">
        <f>F68-F67</f>
        <v>43500.000000000902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1"/>
  <sheetViews>
    <sheetView zoomScaleNormal="100" workbookViewId="0">
      <selection activeCell="B14" sqref="B14"/>
    </sheetView>
  </sheetViews>
  <sheetFormatPr defaultRowHeight="13.5" x14ac:dyDescent="0.15"/>
  <cols>
    <col min="1" max="1" width="17.25" customWidth="1"/>
    <col min="2" max="2" width="12.75" bestFit="1" customWidth="1"/>
    <col min="3" max="3" width="11" bestFit="1" customWidth="1"/>
  </cols>
  <sheetData>
    <row r="1" spans="1:24" x14ac:dyDescent="0.15">
      <c r="A1" s="16" t="s">
        <v>27</v>
      </c>
      <c r="B1" s="16"/>
      <c r="C1" s="16"/>
      <c r="D1" s="16"/>
    </row>
    <row r="3" spans="1:24" x14ac:dyDescent="0.15">
      <c r="A3" t="s">
        <v>28</v>
      </c>
      <c r="B3" t="s">
        <v>30</v>
      </c>
      <c r="C3" t="s">
        <v>31</v>
      </c>
      <c r="D3" t="s">
        <v>32</v>
      </c>
      <c r="E3" t="s">
        <v>33</v>
      </c>
    </row>
    <row r="4" spans="1:24" x14ac:dyDescent="0.15">
      <c r="A4" t="s">
        <v>29</v>
      </c>
      <c r="B4" s="4">
        <v>0.3</v>
      </c>
      <c r="C4" s="4">
        <v>0.06</v>
      </c>
      <c r="D4">
        <v>20</v>
      </c>
      <c r="E4">
        <v>0.5</v>
      </c>
    </row>
    <row r="6" spans="1:24" x14ac:dyDescent="0.15">
      <c r="A6" t="s">
        <v>34</v>
      </c>
      <c r="B6">
        <v>2</v>
      </c>
      <c r="C6">
        <v>4</v>
      </c>
      <c r="D6">
        <v>6</v>
      </c>
      <c r="E6">
        <v>8</v>
      </c>
      <c r="F6">
        <v>10</v>
      </c>
      <c r="G6">
        <v>12</v>
      </c>
      <c r="H6">
        <v>14</v>
      </c>
      <c r="I6">
        <v>16</v>
      </c>
      <c r="J6">
        <v>18</v>
      </c>
      <c r="K6">
        <v>19.399999999999999</v>
      </c>
      <c r="L6">
        <v>19.41</v>
      </c>
      <c r="M6">
        <v>19.420000000000002</v>
      </c>
      <c r="N6" s="6">
        <v>20</v>
      </c>
      <c r="O6">
        <v>22</v>
      </c>
      <c r="P6">
        <v>24</v>
      </c>
      <c r="Q6">
        <v>26</v>
      </c>
      <c r="R6">
        <v>28</v>
      </c>
      <c r="S6">
        <v>30</v>
      </c>
      <c r="T6">
        <v>32</v>
      </c>
      <c r="U6">
        <v>34</v>
      </c>
      <c r="V6">
        <v>36</v>
      </c>
      <c r="W6">
        <v>38</v>
      </c>
      <c r="X6">
        <v>40</v>
      </c>
    </row>
    <row r="7" spans="1:24" x14ac:dyDescent="0.15">
      <c r="A7" t="s">
        <v>46</v>
      </c>
      <c r="B7">
        <f>B18</f>
        <v>5.3311629910249083E-28</v>
      </c>
      <c r="C7">
        <f t="shared" ref="C7:X7" si="0">C18</f>
        <v>1.1652669556045534E-14</v>
      </c>
      <c r="D7">
        <f t="shared" si="0"/>
        <v>6.0691918809143488E-9</v>
      </c>
      <c r="E7">
        <f t="shared" si="0"/>
        <v>8.4126518201952175E-6</v>
      </c>
      <c r="F7">
        <f t="shared" si="0"/>
        <v>7.1484394367700085E-4</v>
      </c>
      <c r="G7">
        <f t="shared" si="0"/>
        <v>1.3005273757255659E-2</v>
      </c>
      <c r="H7">
        <f t="shared" si="0"/>
        <v>9.3116671947127472E-2</v>
      </c>
      <c r="I7">
        <f t="shared" si="0"/>
        <v>0.3670014579294838</v>
      </c>
      <c r="J7">
        <f t="shared" si="0"/>
        <v>0.97374705120041938</v>
      </c>
      <c r="K7">
        <f t="shared" si="0"/>
        <v>1.6346433493578214</v>
      </c>
      <c r="L7">
        <f t="shared" si="0"/>
        <v>1.6400619306114237</v>
      </c>
      <c r="M7">
        <f t="shared" si="0"/>
        <v>1.6454901462276244</v>
      </c>
      <c r="N7" s="7">
        <f t="shared" si="0"/>
        <v>1.9765334341170941</v>
      </c>
      <c r="O7">
        <f t="shared" si="0"/>
        <v>3.3394246280836128</v>
      </c>
      <c r="P7">
        <f t="shared" si="0"/>
        <v>4.9705339130141439</v>
      </c>
      <c r="Q7">
        <f t="shared" si="0"/>
        <v>6.773654039364839</v>
      </c>
      <c r="R7">
        <f t="shared" si="0"/>
        <v>8.6752672335527201</v>
      </c>
      <c r="S7">
        <f t="shared" si="0"/>
        <v>10.628606993038467</v>
      </c>
      <c r="T7">
        <f t="shared" si="0"/>
        <v>12.607370989313761</v>
      </c>
      <c r="U7">
        <f t="shared" si="0"/>
        <v>14.598011261098108</v>
      </c>
      <c r="V7">
        <f t="shared" si="0"/>
        <v>16.593986697754811</v>
      </c>
      <c r="W7">
        <f t="shared" si="0"/>
        <v>18.592288341511786</v>
      </c>
      <c r="X7">
        <f t="shared" si="0"/>
        <v>20.591581552475279</v>
      </c>
    </row>
    <row r="8" spans="1:24" x14ac:dyDescent="0.15">
      <c r="A8" t="s">
        <v>44</v>
      </c>
      <c r="B8">
        <f>MAX(B6-$D$4/EXP($C$4*$E$4),0)</f>
        <v>0</v>
      </c>
      <c r="C8">
        <f t="shared" ref="C8:X8" si="1">MAX(C6-$D$4/EXP($C$4*$E$4),0)</f>
        <v>0</v>
      </c>
      <c r="D8">
        <f t="shared" si="1"/>
        <v>0</v>
      </c>
      <c r="E8">
        <f t="shared" si="1"/>
        <v>0</v>
      </c>
      <c r="F8">
        <f t="shared" si="1"/>
        <v>0</v>
      </c>
      <c r="G8">
        <f t="shared" si="1"/>
        <v>0</v>
      </c>
      <c r="H8">
        <f t="shared" si="1"/>
        <v>0</v>
      </c>
      <c r="I8">
        <f t="shared" si="1"/>
        <v>0</v>
      </c>
      <c r="J8">
        <f t="shared" si="1"/>
        <v>0</v>
      </c>
      <c r="K8">
        <f t="shared" si="1"/>
        <v>0</v>
      </c>
      <c r="L8">
        <f t="shared" si="1"/>
        <v>1.0893290298383818E-3</v>
      </c>
      <c r="M8">
        <f t="shared" si="1"/>
        <v>1.1089329029839945E-2</v>
      </c>
      <c r="N8" s="6">
        <f t="shared" si="1"/>
        <v>0.59108932902983824</v>
      </c>
      <c r="O8">
        <f t="shared" si="1"/>
        <v>2.5910893290298382</v>
      </c>
      <c r="P8">
        <f t="shared" si="1"/>
        <v>4.5910893290298382</v>
      </c>
      <c r="Q8">
        <f t="shared" si="1"/>
        <v>6.5910893290298382</v>
      </c>
      <c r="R8">
        <f t="shared" si="1"/>
        <v>8.5910893290298382</v>
      </c>
      <c r="S8">
        <f t="shared" si="1"/>
        <v>10.591089329029838</v>
      </c>
      <c r="T8">
        <f t="shared" si="1"/>
        <v>12.591089329029838</v>
      </c>
      <c r="U8">
        <f t="shared" si="1"/>
        <v>14.591089329029838</v>
      </c>
      <c r="V8">
        <f t="shared" si="1"/>
        <v>16.591089329029838</v>
      </c>
      <c r="W8">
        <f t="shared" si="1"/>
        <v>18.591089329029838</v>
      </c>
      <c r="X8">
        <f t="shared" si="1"/>
        <v>20.591089329029838</v>
      </c>
    </row>
    <row r="9" spans="1:24" s="5" customFormat="1" x14ac:dyDescent="0.15">
      <c r="A9" s="5" t="s">
        <v>43</v>
      </c>
      <c r="B9" s="5">
        <f t="shared" ref="B9:X9" si="2">B7-B8</f>
        <v>5.3311629910249083E-28</v>
      </c>
      <c r="C9" s="5">
        <f t="shared" si="2"/>
        <v>1.1652669556045534E-14</v>
      </c>
      <c r="D9" s="5">
        <f t="shared" si="2"/>
        <v>6.0691918809143488E-9</v>
      </c>
      <c r="E9" s="5">
        <f t="shared" si="2"/>
        <v>8.4126518201952175E-6</v>
      </c>
      <c r="F9" s="5">
        <f t="shared" si="2"/>
        <v>7.1484394367700085E-4</v>
      </c>
      <c r="G9" s="5">
        <f t="shared" si="2"/>
        <v>1.3005273757255659E-2</v>
      </c>
      <c r="H9" s="5">
        <f t="shared" si="2"/>
        <v>9.3116671947127472E-2</v>
      </c>
      <c r="I9" s="5">
        <f t="shared" si="2"/>
        <v>0.3670014579294838</v>
      </c>
      <c r="J9" s="5">
        <f t="shared" si="2"/>
        <v>0.97374705120041938</v>
      </c>
      <c r="K9" s="5">
        <f t="shared" si="2"/>
        <v>1.6346433493578214</v>
      </c>
      <c r="L9" s="3">
        <f t="shared" si="2"/>
        <v>1.6389726015815853</v>
      </c>
      <c r="M9" s="5">
        <f t="shared" si="2"/>
        <v>1.6344008171977844</v>
      </c>
      <c r="N9" s="5">
        <f t="shared" si="2"/>
        <v>1.3854441050872559</v>
      </c>
      <c r="O9" s="5">
        <f t="shared" si="2"/>
        <v>0.74833529905377461</v>
      </c>
      <c r="P9" s="5">
        <f t="shared" si="2"/>
        <v>0.37944458398430569</v>
      </c>
      <c r="Q9" s="5">
        <f t="shared" si="2"/>
        <v>0.18256471033500077</v>
      </c>
      <c r="R9" s="5">
        <f t="shared" si="2"/>
        <v>8.4177904522881875E-2</v>
      </c>
      <c r="S9" s="5">
        <f t="shared" si="2"/>
        <v>3.751766400862877E-2</v>
      </c>
      <c r="T9" s="5">
        <f t="shared" si="2"/>
        <v>1.6281660283922861E-2</v>
      </c>
      <c r="U9" s="5">
        <f t="shared" si="2"/>
        <v>6.9219320682698537E-3</v>
      </c>
      <c r="V9" s="5">
        <f t="shared" si="2"/>
        <v>2.8973687249731483E-3</v>
      </c>
      <c r="W9" s="5">
        <f t="shared" si="2"/>
        <v>1.1990124819476478E-3</v>
      </c>
      <c r="X9" s="5">
        <f t="shared" si="2"/>
        <v>4.9222344544119778E-4</v>
      </c>
    </row>
    <row r="10" spans="1:24" x14ac:dyDescent="0.15">
      <c r="A10" t="s">
        <v>45</v>
      </c>
      <c r="B10">
        <f>B21</f>
        <v>17.408910670970162</v>
      </c>
      <c r="C10">
        <f t="shared" ref="C10:W10" si="3">C21</f>
        <v>15.408910670970172</v>
      </c>
      <c r="D10">
        <f t="shared" si="3"/>
        <v>13.408910677039353</v>
      </c>
      <c r="E10">
        <f t="shared" si="3"/>
        <v>11.408919083621981</v>
      </c>
      <c r="F10">
        <f t="shared" si="3"/>
        <v>9.4096255149138379</v>
      </c>
      <c r="G10">
        <f t="shared" si="3"/>
        <v>7.4219159447274183</v>
      </c>
      <c r="H10">
        <f t="shared" si="3"/>
        <v>5.502027342917291</v>
      </c>
      <c r="I10">
        <f t="shared" si="3"/>
        <v>3.7759121288996482</v>
      </c>
      <c r="J10">
        <f t="shared" si="3"/>
        <v>2.3826577221705811</v>
      </c>
      <c r="K10">
        <f t="shared" si="3"/>
        <v>1.6435540203279846</v>
      </c>
      <c r="L10">
        <f t="shared" si="3"/>
        <v>1.6389726015815853</v>
      </c>
      <c r="M10">
        <f t="shared" si="3"/>
        <v>1.6344008171977844</v>
      </c>
      <c r="N10" s="7">
        <f t="shared" si="3"/>
        <v>1.3854441050872559</v>
      </c>
      <c r="O10">
        <f t="shared" si="3"/>
        <v>0.74833529905377283</v>
      </c>
      <c r="P10">
        <f t="shared" si="3"/>
        <v>0.37944458398430747</v>
      </c>
      <c r="Q10">
        <f t="shared" si="3"/>
        <v>0.18256471033499855</v>
      </c>
      <c r="R10">
        <f t="shared" si="3"/>
        <v>8.4177904522880542E-2</v>
      </c>
      <c r="S10">
        <f t="shared" si="3"/>
        <v>3.7517664008626439E-2</v>
      </c>
      <c r="T10">
        <f t="shared" si="3"/>
        <v>1.6281660283923E-2</v>
      </c>
      <c r="U10">
        <f t="shared" si="3"/>
        <v>6.9219320682656071E-3</v>
      </c>
      <c r="V10">
        <f t="shared" si="3"/>
        <v>2.897368724974668E-3</v>
      </c>
      <c r="W10">
        <f t="shared" si="3"/>
        <v>1.1990124819496635E-3</v>
      </c>
      <c r="X10">
        <f>X$6*X19-$D$4*EXP(-$C$4*$E$4)*X20</f>
        <v>-4.9222344544187085E-4</v>
      </c>
    </row>
    <row r="11" spans="1:24" x14ac:dyDescent="0.15">
      <c r="A11" t="s">
        <v>44</v>
      </c>
      <c r="B11">
        <f>MAX($D$4/EXP($C$4*$E$4)-B$6,0)</f>
        <v>17.408910670970162</v>
      </c>
      <c r="C11">
        <f t="shared" ref="C11:X11" si="4">MAX($D$4/EXP($C$4*$E$4)-C$6,0)</f>
        <v>15.408910670970162</v>
      </c>
      <c r="D11">
        <f t="shared" si="4"/>
        <v>13.408910670970162</v>
      </c>
      <c r="E11">
        <f t="shared" si="4"/>
        <v>11.408910670970162</v>
      </c>
      <c r="F11">
        <f t="shared" si="4"/>
        <v>9.4089106709701618</v>
      </c>
      <c r="G11">
        <f t="shared" si="4"/>
        <v>7.4089106709701618</v>
      </c>
      <c r="H11">
        <f t="shared" si="4"/>
        <v>5.4089106709701618</v>
      </c>
      <c r="I11">
        <f t="shared" si="4"/>
        <v>3.4089106709701618</v>
      </c>
      <c r="J11">
        <f t="shared" si="4"/>
        <v>1.4089106709701618</v>
      </c>
      <c r="K11">
        <f t="shared" si="4"/>
        <v>8.9106709701631814E-3</v>
      </c>
      <c r="L11">
        <f t="shared" si="4"/>
        <v>0</v>
      </c>
      <c r="M11">
        <f t="shared" si="4"/>
        <v>0</v>
      </c>
      <c r="N11" s="6">
        <f t="shared" si="4"/>
        <v>0</v>
      </c>
      <c r="O11">
        <f t="shared" si="4"/>
        <v>0</v>
      </c>
      <c r="P11">
        <f t="shared" si="4"/>
        <v>0</v>
      </c>
      <c r="Q11">
        <f t="shared" si="4"/>
        <v>0</v>
      </c>
      <c r="R11">
        <f t="shared" si="4"/>
        <v>0</v>
      </c>
      <c r="S11">
        <f t="shared" si="4"/>
        <v>0</v>
      </c>
      <c r="T11">
        <f t="shared" si="4"/>
        <v>0</v>
      </c>
      <c r="U11">
        <f t="shared" si="4"/>
        <v>0</v>
      </c>
      <c r="V11">
        <f t="shared" si="4"/>
        <v>0</v>
      </c>
      <c r="W11">
        <f t="shared" si="4"/>
        <v>0</v>
      </c>
      <c r="X11">
        <f t="shared" si="4"/>
        <v>0</v>
      </c>
    </row>
    <row r="12" spans="1:24" s="5" customFormat="1" x14ac:dyDescent="0.15">
      <c r="A12" s="5" t="s">
        <v>43</v>
      </c>
      <c r="B12" s="5">
        <f t="shared" ref="B12:X12" si="5">B10-B11</f>
        <v>0</v>
      </c>
      <c r="C12" s="5">
        <f t="shared" si="5"/>
        <v>0</v>
      </c>
      <c r="D12" s="5">
        <f t="shared" si="5"/>
        <v>6.0691913716937052E-9</v>
      </c>
      <c r="E12" s="5">
        <f t="shared" si="5"/>
        <v>8.412651819611483E-6</v>
      </c>
      <c r="F12" s="5">
        <f t="shared" si="5"/>
        <v>7.1484394367615778E-4</v>
      </c>
      <c r="G12" s="5">
        <f t="shared" si="5"/>
        <v>1.3005273757256575E-2</v>
      </c>
      <c r="H12" s="5">
        <f t="shared" si="5"/>
        <v>9.3116671947129248E-2</v>
      </c>
      <c r="I12" s="5">
        <f t="shared" si="5"/>
        <v>0.36700145792948646</v>
      </c>
      <c r="J12" s="5">
        <f t="shared" si="5"/>
        <v>0.97374705120041938</v>
      </c>
      <c r="K12" s="5">
        <f t="shared" si="5"/>
        <v>1.6346433493578214</v>
      </c>
      <c r="L12" s="3">
        <f t="shared" si="5"/>
        <v>1.6389726015815853</v>
      </c>
      <c r="M12" s="5">
        <f t="shared" si="5"/>
        <v>1.6344008171977844</v>
      </c>
      <c r="N12" s="5">
        <f t="shared" si="5"/>
        <v>1.3854441050872559</v>
      </c>
      <c r="O12" s="5">
        <f t="shared" si="5"/>
        <v>0.74833529905377283</v>
      </c>
      <c r="P12" s="5">
        <f t="shared" si="5"/>
        <v>0.37944458398430747</v>
      </c>
      <c r="Q12" s="5">
        <f t="shared" si="5"/>
        <v>0.18256471033499855</v>
      </c>
      <c r="R12" s="5">
        <f t="shared" si="5"/>
        <v>8.4177904522880542E-2</v>
      </c>
      <c r="S12" s="5">
        <f t="shared" si="5"/>
        <v>3.7517664008626439E-2</v>
      </c>
      <c r="T12" s="5">
        <f t="shared" si="5"/>
        <v>1.6281660283923E-2</v>
      </c>
      <c r="U12" s="5">
        <f t="shared" si="5"/>
        <v>6.9219320682656071E-3</v>
      </c>
      <c r="V12" s="5">
        <f t="shared" si="5"/>
        <v>2.897368724974668E-3</v>
      </c>
      <c r="W12" s="5">
        <f t="shared" si="5"/>
        <v>1.1990124819496635E-3</v>
      </c>
      <c r="X12" s="5">
        <f t="shared" si="5"/>
        <v>-4.9222344544187085E-4</v>
      </c>
    </row>
    <row r="13" spans="1:24" x14ac:dyDescent="0.15">
      <c r="N13" s="6"/>
    </row>
    <row r="14" spans="1:24" x14ac:dyDescent="0.15">
      <c r="A14" t="s">
        <v>35</v>
      </c>
      <c r="B14">
        <f t="shared" ref="B14:E14" si="6">(LN(B$6/$D$4)+($C$4+0.5*$B$4^2)*$E$4)/($B$4*SQRT($E$4))</f>
        <v>-10.607002850019018</v>
      </c>
      <c r="C14">
        <f t="shared" si="6"/>
        <v>-7.3394757051238626</v>
      </c>
      <c r="D14">
        <f t="shared" si="6"/>
        <v>-5.4280948552717332</v>
      </c>
      <c r="E14">
        <f t="shared" si="6"/>
        <v>-4.071948560228706</v>
      </c>
      <c r="F14">
        <f>(LN(F$6/$D$4)+($C$4+0.5*$B$4^2)*$E$4)/($B$4*SQRT($E$4))</f>
        <v>-3.0200397714798655</v>
      </c>
      <c r="G14">
        <f t="shared" ref="G14:X14" si="7">(LN(G$6/$D$4)+($C$4+0.5*$B$4^2)*$E$4)/($B$4*SQRT($E$4))</f>
        <v>-2.1605677103765752</v>
      </c>
      <c r="H14">
        <f t="shared" si="7"/>
        <v>-1.4338944368407711</v>
      </c>
      <c r="I14">
        <f t="shared" si="7"/>
        <v>-0.80442141533354861</v>
      </c>
      <c r="J14">
        <f t="shared" si="7"/>
        <v>-0.24918686052444428</v>
      </c>
      <c r="K14">
        <f t="shared" si="7"/>
        <v>0.10390129233525512</v>
      </c>
      <c r="L14">
        <f t="shared" si="7"/>
        <v>0.10633058649255225</v>
      </c>
      <c r="M14">
        <f t="shared" si="7"/>
        <v>0.10875862940376917</v>
      </c>
      <c r="N14" s="6">
        <f t="shared" si="7"/>
        <v>0.24748737341529162</v>
      </c>
      <c r="O14">
        <f t="shared" si="7"/>
        <v>0.69678386978694018</v>
      </c>
      <c r="P14">
        <f t="shared" si="7"/>
        <v>1.1069594345185818</v>
      </c>
      <c r="Q14">
        <f t="shared" si="7"/>
        <v>1.4842843770551828</v>
      </c>
      <c r="R14">
        <f t="shared" si="7"/>
        <v>1.8336327080543864</v>
      </c>
      <c r="S14">
        <f t="shared" si="7"/>
        <v>2.1588682232674223</v>
      </c>
      <c r="T14">
        <f t="shared" si="7"/>
        <v>2.463105729561609</v>
      </c>
      <c r="U14">
        <f t="shared" si="7"/>
        <v>2.7488929375167483</v>
      </c>
      <c r="V14">
        <f t="shared" si="7"/>
        <v>3.018340284370713</v>
      </c>
      <c r="W14">
        <f t="shared" si="7"/>
        <v>3.273215609704883</v>
      </c>
      <c r="X14">
        <f t="shared" si="7"/>
        <v>3.5150145183104486</v>
      </c>
    </row>
    <row r="15" spans="1:24" x14ac:dyDescent="0.15">
      <c r="A15" t="s">
        <v>36</v>
      </c>
      <c r="B15">
        <f t="shared" ref="B15:E15" si="8">(LN(B$6/$D$4)+($C$4-0.5*$B$4^2)*$E$4)/($B$4*SQRT($E$4))</f>
        <v>-10.819134884374984</v>
      </c>
      <c r="C15">
        <f t="shared" si="8"/>
        <v>-7.5516077394798273</v>
      </c>
      <c r="D15">
        <f t="shared" si="8"/>
        <v>-5.640226889627697</v>
      </c>
      <c r="E15">
        <f t="shared" si="8"/>
        <v>-4.2840805945846698</v>
      </c>
      <c r="F15">
        <f>(LN(F$6/$D$4)+($C$4-0.5*$B$4^2)*$E$4)/($B$4*SQRT($E$4))</f>
        <v>-3.2321718058358302</v>
      </c>
      <c r="G15">
        <f t="shared" ref="G15:X15" si="9">(LN(G$6/$D$4)+($C$4-0.5*$B$4^2)*$E$4)/($B$4*SQRT($E$4))</f>
        <v>-2.37269974473254</v>
      </c>
      <c r="H15">
        <f t="shared" si="9"/>
        <v>-1.6460264711967352</v>
      </c>
      <c r="I15">
        <f t="shared" si="9"/>
        <v>-1.0165534496895128</v>
      </c>
      <c r="J15">
        <f t="shared" si="9"/>
        <v>-0.4613188948804085</v>
      </c>
      <c r="K15">
        <f t="shared" si="9"/>
        <v>-0.10823074202070913</v>
      </c>
      <c r="L15">
        <f t="shared" si="9"/>
        <v>-0.105801447863412</v>
      </c>
      <c r="M15">
        <f t="shared" si="9"/>
        <v>-0.10337340495219509</v>
      </c>
      <c r="N15" s="6">
        <f t="shared" si="9"/>
        <v>3.5355339059327376E-2</v>
      </c>
      <c r="O15">
        <f t="shared" si="9"/>
        <v>0.48465183543097601</v>
      </c>
      <c r="P15">
        <f t="shared" si="9"/>
        <v>0.89482740016261775</v>
      </c>
      <c r="Q15">
        <f t="shared" si="9"/>
        <v>1.2721523426992187</v>
      </c>
      <c r="R15">
        <f t="shared" si="9"/>
        <v>1.6215006736984223</v>
      </c>
      <c r="S15">
        <f t="shared" si="9"/>
        <v>1.9467361889114583</v>
      </c>
      <c r="T15">
        <f t="shared" si="9"/>
        <v>2.2509736952056447</v>
      </c>
      <c r="U15">
        <f t="shared" si="9"/>
        <v>2.5367609031607841</v>
      </c>
      <c r="V15">
        <f t="shared" si="9"/>
        <v>2.8062082500147487</v>
      </c>
      <c r="W15">
        <f t="shared" si="9"/>
        <v>3.0610835753489183</v>
      </c>
      <c r="X15">
        <f t="shared" si="9"/>
        <v>3.3028824839544844</v>
      </c>
    </row>
    <row r="16" spans="1:24" x14ac:dyDescent="0.15">
      <c r="A16" t="s">
        <v>37</v>
      </c>
      <c r="B16">
        <f t="shared" ref="B16:E16" si="10">NORMSDIST(B14)</f>
        <v>1.3823789047821733E-26</v>
      </c>
      <c r="C16">
        <f t="shared" si="10"/>
        <v>1.0721609097899013E-13</v>
      </c>
      <c r="D16">
        <f t="shared" si="10"/>
        <v>2.8479383932807844E-8</v>
      </c>
      <c r="E16">
        <f t="shared" si="10"/>
        <v>2.3310738376387358E-5</v>
      </c>
      <c r="F16">
        <f>NORMSDIST(F14)</f>
        <v>1.2637074743163989E-3</v>
      </c>
      <c r="G16">
        <f t="shared" ref="G16:X16" si="11">NORMSDIST(G14)</f>
        <v>1.5364373968751071E-2</v>
      </c>
      <c r="H16">
        <f t="shared" si="11"/>
        <v>7.5801194834653043E-2</v>
      </c>
      <c r="I16">
        <f t="shared" si="11"/>
        <v>0.21057681866570863</v>
      </c>
      <c r="J16">
        <f t="shared" si="11"/>
        <v>0.40160812135221668</v>
      </c>
      <c r="K16">
        <f t="shared" ref="K16:M16" si="12">NORMSDIST(K14)</f>
        <v>0.54137615923751126</v>
      </c>
      <c r="L16">
        <f t="shared" si="12"/>
        <v>0.54233996768327364</v>
      </c>
      <c r="M16">
        <f t="shared" si="12"/>
        <v>0.54330303097020194</v>
      </c>
      <c r="N16" s="6">
        <f t="shared" si="11"/>
        <v>0.59773446890843829</v>
      </c>
      <c r="O16">
        <f t="shared" si="11"/>
        <v>0.75703096892426713</v>
      </c>
      <c r="P16">
        <f t="shared" si="11"/>
        <v>0.86584426636006451</v>
      </c>
      <c r="Q16">
        <f t="shared" si="11"/>
        <v>0.93113325340621556</v>
      </c>
      <c r="R16">
        <f t="shared" si="11"/>
        <v>0.96664573319468716</v>
      </c>
      <c r="S16">
        <f t="shared" si="11"/>
        <v>0.98456980411584694</v>
      </c>
      <c r="T16">
        <f t="shared" si="11"/>
        <v>0.99311303541632723</v>
      </c>
      <c r="U16">
        <f t="shared" si="11"/>
        <v>0.99701015428524553</v>
      </c>
      <c r="V16">
        <f t="shared" si="11"/>
        <v>0.99872918332358496</v>
      </c>
      <c r="W16">
        <f t="shared" si="11"/>
        <v>0.99946834333456658</v>
      </c>
      <c r="X16">
        <f t="shared" si="11"/>
        <v>0.99978013502607477</v>
      </c>
    </row>
    <row r="17" spans="1:24" x14ac:dyDescent="0.15">
      <c r="A17" t="s">
        <v>38</v>
      </c>
      <c r="B17">
        <f t="shared" ref="B17:E17" si="13">NORMSDIST(B15)</f>
        <v>1.3970110046977535E-27</v>
      </c>
      <c r="C17">
        <f t="shared" si="13"/>
        <v>2.1495884103580169E-14</v>
      </c>
      <c r="D17">
        <f t="shared" si="13"/>
        <v>8.4913117747733321E-9</v>
      </c>
      <c r="E17">
        <f t="shared" si="13"/>
        <v>9.1748196593664155E-6</v>
      </c>
      <c r="F17">
        <f>NORMSDIST(F15)</f>
        <v>6.1426583910858146E-4</v>
      </c>
      <c r="G17">
        <f t="shared" ref="G17:X17" si="14">NORMSDIST(G15)</f>
        <v>8.8293061250506195E-3</v>
      </c>
      <c r="H17">
        <f t="shared" si="14"/>
        <v>4.9879154587794503E-2</v>
      </c>
      <c r="I17">
        <f t="shared" si="14"/>
        <v>0.15468295421712025</v>
      </c>
      <c r="J17">
        <f t="shared" si="14"/>
        <v>0.32228491537628434</v>
      </c>
      <c r="K17">
        <f t="shared" ref="K17:M17" si="15">NORMSDIST(K15)</f>
        <v>0.45690632978767909</v>
      </c>
      <c r="L17">
        <f t="shared" si="15"/>
        <v>0.4578699440052969</v>
      </c>
      <c r="M17">
        <f t="shared" si="15"/>
        <v>0.45883330941048406</v>
      </c>
      <c r="N17" s="6">
        <f t="shared" si="14"/>
        <v>0.51410180165216401</v>
      </c>
      <c r="O17">
        <f t="shared" si="14"/>
        <v>0.68603833125811886</v>
      </c>
      <c r="P17">
        <f t="shared" si="14"/>
        <v>0.81456031962030495</v>
      </c>
      <c r="Q17">
        <f t="shared" si="14"/>
        <v>0.89834050167871848</v>
      </c>
      <c r="R17">
        <f t="shared" si="14"/>
        <v>0.94754484719256271</v>
      </c>
      <c r="S17">
        <f t="shared" si="14"/>
        <v>0.97421681468802368</v>
      </c>
      <c r="T17">
        <f t="shared" si="14"/>
        <v>0.98780639825833039</v>
      </c>
      <c r="U17">
        <f t="shared" si="14"/>
        <v>0.99440583306242347</v>
      </c>
      <c r="V17">
        <f t="shared" si="14"/>
        <v>0.99749358581217662</v>
      </c>
      <c r="W17">
        <f t="shared" si="14"/>
        <v>0.9988973123669207</v>
      </c>
      <c r="X17">
        <f t="shared" si="14"/>
        <v>0.99952151758746866</v>
      </c>
    </row>
    <row r="18" spans="1:24" x14ac:dyDescent="0.15">
      <c r="A18" t="s">
        <v>39</v>
      </c>
      <c r="B18">
        <f t="shared" ref="B18:E18" si="16">B$6*B16-$D$4*EXP(-$C$4*$E$4)*B17</f>
        <v>5.3311629910249083E-28</v>
      </c>
      <c r="C18">
        <f t="shared" si="16"/>
        <v>1.1652669556045534E-14</v>
      </c>
      <c r="D18">
        <f t="shared" si="16"/>
        <v>6.0691918809143488E-9</v>
      </c>
      <c r="E18">
        <f t="shared" si="16"/>
        <v>8.4126518201952175E-6</v>
      </c>
      <c r="F18">
        <f>F$6*F16-$D$4*EXP(-$C$4*$E$4)*F17</f>
        <v>7.1484394367700085E-4</v>
      </c>
      <c r="G18">
        <f t="shared" ref="G18:X18" si="17">G$6*G16-$D$4*EXP(-$C$4*$E$4)*G17</f>
        <v>1.3005273757255659E-2</v>
      </c>
      <c r="H18">
        <f t="shared" si="17"/>
        <v>9.3116671947127472E-2</v>
      </c>
      <c r="I18">
        <f t="shared" si="17"/>
        <v>0.3670014579294838</v>
      </c>
      <c r="J18">
        <f t="shared" si="17"/>
        <v>0.97374705120041938</v>
      </c>
      <c r="K18">
        <f t="shared" ref="K18" si="18">K$6*K16-$D$4*EXP(-$C$4*$E$4)*K17</f>
        <v>1.6346433493578214</v>
      </c>
      <c r="L18">
        <f t="shared" ref="L18" si="19">L$6*L16-$D$4*EXP(-$C$4*$E$4)*L17</f>
        <v>1.6400619306114237</v>
      </c>
      <c r="M18">
        <f t="shared" ref="M18" si="20">M$6*M16-$D$4*EXP(-$C$4*$E$4)*M17</f>
        <v>1.6454901462276244</v>
      </c>
      <c r="N18" s="6">
        <f t="shared" si="17"/>
        <v>1.9765334341170941</v>
      </c>
      <c r="O18">
        <f t="shared" si="17"/>
        <v>3.3394246280836128</v>
      </c>
      <c r="P18">
        <f t="shared" si="17"/>
        <v>4.9705339130141439</v>
      </c>
      <c r="Q18">
        <f t="shared" si="17"/>
        <v>6.773654039364839</v>
      </c>
      <c r="R18">
        <f t="shared" si="17"/>
        <v>8.6752672335527201</v>
      </c>
      <c r="S18">
        <f t="shared" si="17"/>
        <v>10.628606993038467</v>
      </c>
      <c r="T18">
        <f t="shared" si="17"/>
        <v>12.607370989313761</v>
      </c>
      <c r="U18">
        <f t="shared" si="17"/>
        <v>14.598011261098108</v>
      </c>
      <c r="V18">
        <f t="shared" si="17"/>
        <v>16.593986697754811</v>
      </c>
      <c r="W18">
        <f t="shared" si="17"/>
        <v>18.592288341511786</v>
      </c>
      <c r="X18">
        <f t="shared" si="17"/>
        <v>20.591581552475279</v>
      </c>
    </row>
    <row r="19" spans="1:24" x14ac:dyDescent="0.15">
      <c r="A19" t="s">
        <v>40</v>
      </c>
      <c r="B19">
        <f t="shared" ref="B19:E19" si="21">1-NORMSDIST(B14)</f>
        <v>1</v>
      </c>
      <c r="C19">
        <f t="shared" si="21"/>
        <v>0.99999999999989275</v>
      </c>
      <c r="D19">
        <f t="shared" si="21"/>
        <v>0.99999997152061604</v>
      </c>
      <c r="E19">
        <f t="shared" si="21"/>
        <v>0.99997668926162364</v>
      </c>
      <c r="F19">
        <f>1-NORMSDIST(F14)</f>
        <v>0.99873629252568363</v>
      </c>
      <c r="G19">
        <f t="shared" ref="G19:X19" si="22">1-NORMSDIST(G14)</f>
        <v>0.98463562603124888</v>
      </c>
      <c r="H19">
        <f t="shared" si="22"/>
        <v>0.92419880516534691</v>
      </c>
      <c r="I19">
        <f t="shared" si="22"/>
        <v>0.78942318133429135</v>
      </c>
      <c r="J19">
        <f t="shared" si="22"/>
        <v>0.59839187864778332</v>
      </c>
      <c r="K19">
        <f t="shared" ref="K19:M19" si="23">1-NORMSDIST(K14)</f>
        <v>0.45862384076248874</v>
      </c>
      <c r="L19">
        <f t="shared" si="23"/>
        <v>0.45766003231672636</v>
      </c>
      <c r="M19">
        <f t="shared" si="23"/>
        <v>0.45669696902979806</v>
      </c>
      <c r="N19" s="6">
        <f t="shared" si="22"/>
        <v>0.40226553109156171</v>
      </c>
      <c r="O19">
        <f t="shared" si="22"/>
        <v>0.24296903107573287</v>
      </c>
      <c r="P19">
        <f t="shared" si="22"/>
        <v>0.13415573363993549</v>
      </c>
      <c r="Q19">
        <f t="shared" si="22"/>
        <v>6.8866746593784445E-2</v>
      </c>
      <c r="R19">
        <f t="shared" si="22"/>
        <v>3.3354266805312838E-2</v>
      </c>
      <c r="S19">
        <f t="shared" si="22"/>
        <v>1.5430195884153064E-2</v>
      </c>
      <c r="T19">
        <f t="shared" si="22"/>
        <v>6.8869645836727722E-3</v>
      </c>
      <c r="U19">
        <f t="shared" si="22"/>
        <v>2.9898457147544688E-3</v>
      </c>
      <c r="V19">
        <f t="shared" si="22"/>
        <v>1.270816676415043E-3</v>
      </c>
      <c r="W19">
        <f t="shared" si="22"/>
        <v>5.3165666543342205E-4</v>
      </c>
      <c r="X19">
        <f t="shared" si="22"/>
        <v>2.198649739252323E-4</v>
      </c>
    </row>
    <row r="20" spans="1:24" x14ac:dyDescent="0.15">
      <c r="A20" t="s">
        <v>41</v>
      </c>
      <c r="B20">
        <f t="shared" ref="B20:E20" si="24">1-NORMSDIST(B15)</f>
        <v>1</v>
      </c>
      <c r="C20">
        <f t="shared" si="24"/>
        <v>0.99999999999997846</v>
      </c>
      <c r="D20">
        <f t="shared" si="24"/>
        <v>0.99999999150868824</v>
      </c>
      <c r="E20">
        <f t="shared" si="24"/>
        <v>0.99999082518034066</v>
      </c>
      <c r="F20">
        <f>1-NORMSDIST(F15)</f>
        <v>0.99938573416089138</v>
      </c>
      <c r="G20">
        <f t="shared" ref="G20:X20" si="25">1-NORMSDIST(G15)</f>
        <v>0.99117069387494938</v>
      </c>
      <c r="H20">
        <f t="shared" si="25"/>
        <v>0.95012084541220554</v>
      </c>
      <c r="I20">
        <f t="shared" si="25"/>
        <v>0.84531704578287981</v>
      </c>
      <c r="J20">
        <f t="shared" si="25"/>
        <v>0.67771508462371566</v>
      </c>
      <c r="K20">
        <f t="shared" ref="K20:M20" si="26">1-NORMSDIST(K15)</f>
        <v>0.54309367021232091</v>
      </c>
      <c r="L20">
        <f t="shared" si="26"/>
        <v>0.5421300559947031</v>
      </c>
      <c r="M20">
        <f t="shared" si="26"/>
        <v>0.54116669058951594</v>
      </c>
      <c r="N20" s="6">
        <f t="shared" si="25"/>
        <v>0.48589819834783599</v>
      </c>
      <c r="O20">
        <f t="shared" si="25"/>
        <v>0.31396166874188114</v>
      </c>
      <c r="P20">
        <f t="shared" si="25"/>
        <v>0.18543968037969505</v>
      </c>
      <c r="Q20">
        <f t="shared" si="25"/>
        <v>0.10165949832128152</v>
      </c>
      <c r="R20">
        <f t="shared" si="25"/>
        <v>5.2455152807437289E-2</v>
      </c>
      <c r="S20">
        <f t="shared" si="25"/>
        <v>2.578318531197632E-2</v>
      </c>
      <c r="T20">
        <f t="shared" si="25"/>
        <v>1.2193601741669613E-2</v>
      </c>
      <c r="U20">
        <f t="shared" si="25"/>
        <v>5.5941669375765279E-3</v>
      </c>
      <c r="V20">
        <f t="shared" si="25"/>
        <v>2.5064141878233803E-3</v>
      </c>
      <c r="W20">
        <f t="shared" si="25"/>
        <v>1.1026876330793023E-3</v>
      </c>
      <c r="X20">
        <f t="shared" si="25"/>
        <v>4.7848241253134471E-4</v>
      </c>
    </row>
    <row r="21" spans="1:24" x14ac:dyDescent="0.15">
      <c r="A21" t="s">
        <v>42</v>
      </c>
      <c r="B21">
        <f t="shared" ref="B21:E21" si="27">$D$4*EXP(-$C$4*$E$4)*B20 -B$6*B19</f>
        <v>17.408910670970162</v>
      </c>
      <c r="C21">
        <f t="shared" si="27"/>
        <v>15.408910670970172</v>
      </c>
      <c r="D21">
        <f t="shared" si="27"/>
        <v>13.408910677039353</v>
      </c>
      <c r="E21">
        <f t="shared" si="27"/>
        <v>11.408919083621981</v>
      </c>
      <c r="F21">
        <f>$D$4*EXP(-$C$4*$E$4)*F20 -F$6*F19</f>
        <v>9.4096255149138379</v>
      </c>
      <c r="G21">
        <f t="shared" ref="G21:X21" si="28">$D$4*EXP(-$C$4*$E$4)*G20 -G$6*G19</f>
        <v>7.4219159447274183</v>
      </c>
      <c r="H21">
        <f t="shared" si="28"/>
        <v>5.502027342917291</v>
      </c>
      <c r="I21">
        <f t="shared" si="28"/>
        <v>3.7759121288996482</v>
      </c>
      <c r="J21">
        <f t="shared" si="28"/>
        <v>2.3826577221705811</v>
      </c>
      <c r="K21">
        <f t="shared" ref="K21" si="29">$D$4*EXP(-$C$4*$E$4)*K20 -K$6*K19</f>
        <v>1.6435540203279846</v>
      </c>
      <c r="L21">
        <f t="shared" ref="L21" si="30">$D$4*EXP(-$C$4*$E$4)*L20 -L$6*L19</f>
        <v>1.6389726015815853</v>
      </c>
      <c r="M21">
        <f t="shared" ref="M21" si="31">$D$4*EXP(-$C$4*$E$4)*M20 -M$6*M19</f>
        <v>1.6344008171977844</v>
      </c>
      <c r="N21">
        <f t="shared" si="28"/>
        <v>1.3854441050872559</v>
      </c>
      <c r="O21">
        <f t="shared" si="28"/>
        <v>0.74833529905377283</v>
      </c>
      <c r="P21">
        <f t="shared" si="28"/>
        <v>0.37944458398430747</v>
      </c>
      <c r="Q21">
        <f t="shared" si="28"/>
        <v>0.18256471033499855</v>
      </c>
      <c r="R21">
        <f t="shared" si="28"/>
        <v>8.4177904522880542E-2</v>
      </c>
      <c r="S21">
        <f t="shared" si="28"/>
        <v>3.7517664008626439E-2</v>
      </c>
      <c r="T21">
        <f t="shared" si="28"/>
        <v>1.6281660283923E-2</v>
      </c>
      <c r="U21">
        <f t="shared" si="28"/>
        <v>6.9219320682656071E-3</v>
      </c>
      <c r="V21">
        <f t="shared" si="28"/>
        <v>2.897368724974668E-3</v>
      </c>
      <c r="W21">
        <f t="shared" si="28"/>
        <v>1.1990124819496635E-3</v>
      </c>
      <c r="X21">
        <f t="shared" si="28"/>
        <v>4.9222344544187085E-4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7"/>
  <sheetViews>
    <sheetView workbookViewId="0">
      <selection activeCell="E9" sqref="E9"/>
    </sheetView>
  </sheetViews>
  <sheetFormatPr defaultRowHeight="13.5" x14ac:dyDescent="0.15"/>
  <cols>
    <col min="2" max="2" width="15.125" bestFit="1" customWidth="1"/>
    <col min="3" max="3" width="19.25" bestFit="1" customWidth="1"/>
    <col min="4" max="4" width="16.375" bestFit="1" customWidth="1"/>
    <col min="9" max="9" width="10.25" customWidth="1"/>
  </cols>
  <sheetData>
    <row r="1" spans="1:12" x14ac:dyDescent="0.15">
      <c r="A1" s="16" t="s">
        <v>27</v>
      </c>
      <c r="B1" s="16"/>
      <c r="C1" s="16"/>
      <c r="D1" s="16"/>
    </row>
    <row r="3" spans="1:12" x14ac:dyDescent="0.15">
      <c r="A3" t="s">
        <v>28</v>
      </c>
      <c r="B3" t="s">
        <v>30</v>
      </c>
      <c r="C3" t="s">
        <v>31</v>
      </c>
      <c r="D3" t="s">
        <v>32</v>
      </c>
      <c r="E3" t="s">
        <v>33</v>
      </c>
      <c r="F3" t="s">
        <v>47</v>
      </c>
      <c r="G3" t="s">
        <v>48</v>
      </c>
      <c r="H3" t="s">
        <v>49</v>
      </c>
    </row>
    <row r="4" spans="1:12" x14ac:dyDescent="0.15">
      <c r="A4" t="s">
        <v>29</v>
      </c>
      <c r="B4" s="4">
        <v>0.3</v>
      </c>
      <c r="C4" s="4">
        <v>0.06</v>
      </c>
      <c r="D4">
        <v>30</v>
      </c>
      <c r="E4">
        <v>0.5</v>
      </c>
      <c r="F4">
        <v>30</v>
      </c>
      <c r="G4">
        <f>callOption($C$4,$D$4,$E$4,$B$4,$F$4)</f>
        <v>2.9648001511756394</v>
      </c>
      <c r="H4">
        <f>putOption($C$4,$D$4,$E$4,$B$4,$F$4)</f>
        <v>2.0781661576308839</v>
      </c>
    </row>
    <row r="8" spans="1:12" x14ac:dyDescent="0.15">
      <c r="A8" t="s">
        <v>28</v>
      </c>
      <c r="B8" s="3" t="s">
        <v>50</v>
      </c>
      <c r="C8" t="s">
        <v>31</v>
      </c>
      <c r="D8" t="s">
        <v>32</v>
      </c>
      <c r="E8" t="s">
        <v>33</v>
      </c>
      <c r="F8" t="s">
        <v>47</v>
      </c>
      <c r="G8" t="s">
        <v>48</v>
      </c>
      <c r="H8" t="s">
        <v>49</v>
      </c>
      <c r="I8" t="s">
        <v>35</v>
      </c>
      <c r="J8" t="s">
        <v>36</v>
      </c>
      <c r="K8" t="s">
        <v>51</v>
      </c>
      <c r="L8" t="s">
        <v>52</v>
      </c>
    </row>
    <row r="9" spans="1:12" x14ac:dyDescent="0.15">
      <c r="A9" t="s">
        <v>29</v>
      </c>
      <c r="B9" s="8">
        <v>0.3</v>
      </c>
      <c r="C9" s="4">
        <v>0.03</v>
      </c>
      <c r="D9">
        <v>30</v>
      </c>
      <c r="E9">
        <v>0.5</v>
      </c>
      <c r="F9">
        <v>28.91</v>
      </c>
      <c r="G9">
        <v>1.89</v>
      </c>
      <c r="H9">
        <f>putOption($C$4,$D$4,$E$4,$B$4,$F$4)</f>
        <v>2.0781661576308839</v>
      </c>
      <c r="I9">
        <f>dOne($C9,$D9,$E9,$B9,$F9)</f>
        <v>2.3107041215509791E-3</v>
      </c>
      <c r="J9">
        <f>dTwo($C9,$D9,$E9,$B9,$F9)</f>
        <v>-0.20982133023441327</v>
      </c>
    </row>
    <row r="10" spans="1:12" x14ac:dyDescent="0.15">
      <c r="B10" s="8">
        <f>IV($C9,$D9,$E9,$B9,$F9,$G9)</f>
        <v>0.26679855593328605</v>
      </c>
      <c r="I10">
        <f>(LN(F9/D9)+(C9+0.5*B9^2)*E9)/(B9*SQRT(E9))</f>
        <v>2.3107041215509791E-3</v>
      </c>
    </row>
    <row r="13" spans="1:12" x14ac:dyDescent="0.15">
      <c r="B13" t="s">
        <v>53</v>
      </c>
      <c r="C13" t="s">
        <v>54</v>
      </c>
      <c r="D13" t="s">
        <v>55</v>
      </c>
      <c r="E13" t="s">
        <v>56</v>
      </c>
      <c r="F13" t="s">
        <v>35</v>
      </c>
      <c r="G13" t="s">
        <v>59</v>
      </c>
      <c r="H13" t="s">
        <v>57</v>
      </c>
      <c r="I13" t="s">
        <v>58</v>
      </c>
    </row>
    <row r="14" spans="1:12" x14ac:dyDescent="0.15">
      <c r="B14" s="8">
        <v>1</v>
      </c>
      <c r="C14">
        <f>callOption($C$9,$D$9,$E$9,$B14,$F$9)</f>
        <v>7.7595574311856712</v>
      </c>
      <c r="D14">
        <f>C14-$G$9</f>
        <v>5.8695574311856715</v>
      </c>
      <c r="E14">
        <f>VEGA($C$9,$D$9,$E$9,$B14,$F$9)</f>
        <v>7.7422776391420864</v>
      </c>
      <c r="F14">
        <f>dOne($C$9,$D$9,$E$9,B14,$F$9)</f>
        <v>0.32242679667634444</v>
      </c>
      <c r="G14">
        <f>_xlfn.NORM.S.DIST(F14,FALSE)</f>
        <v>0.3787351795549182</v>
      </c>
      <c r="H14">
        <f>$F$9*SQRT($E$9)*_xlfn.NORM.S.DIST(F14,FALSE)</f>
        <v>7.7422776391420864</v>
      </c>
      <c r="I14" s="8">
        <f>D14/H14</f>
        <v>0.7581176631423503</v>
      </c>
    </row>
    <row r="15" spans="1:12" x14ac:dyDescent="0.15">
      <c r="B15" s="8">
        <f>B14-I14</f>
        <v>0.2418823368576497</v>
      </c>
      <c r="C15">
        <f>callOption($C$9,$D$9,$E$9,$B15,$F$9)</f>
        <v>1.6869105778793454</v>
      </c>
      <c r="D15">
        <f>C15-$G$9</f>
        <v>-0.20308942212065451</v>
      </c>
      <c r="E15">
        <f>VEGA($C$9,$D$9,$E$9,$B15,$F$9)</f>
        <v>8.1477658236268464</v>
      </c>
      <c r="F15">
        <f>dOne($C$9,$D$9,$E$9,B15,$F$9)</f>
        <v>-4.3166536627993295E-2</v>
      </c>
      <c r="G15">
        <f>_xlfn.NORM.S.DIST(F15,FALSE)</f>
        <v>0.39857076896620813</v>
      </c>
      <c r="H15">
        <f>$F$9*SQRT($E$9)*_xlfn.NORM.S.DIST(F15,FALSE)</f>
        <v>8.1477658236268464</v>
      </c>
      <c r="I15" s="8">
        <f>D15/H15</f>
        <v>-2.4925780455267495E-2</v>
      </c>
    </row>
    <row r="16" spans="1:12" x14ac:dyDescent="0.15">
      <c r="B16" s="8">
        <f>B15-I15</f>
        <v>0.2668081173129172</v>
      </c>
      <c r="C16">
        <f>callOption($C$9,$D$9,$E$9,$B16,$F$9)</f>
        <v>1.8900779570489146</v>
      </c>
      <c r="D16">
        <f>C16-$G$9</f>
        <v>7.7957048914667482E-5</v>
      </c>
      <c r="E16">
        <f>VEGA($C$9,$D$9,$E$9,$B16,$F$9)</f>
        <v>8.1533270830143643</v>
      </c>
      <c r="F16">
        <f>dOne($C$9,$D$9,$E$9,B16,$F$9)</f>
        <v>-2.2331930044359571E-2</v>
      </c>
      <c r="G16">
        <f>_xlfn.NORM.S.DIST(F16,FALSE)</f>
        <v>0.39884281353382151</v>
      </c>
      <c r="H16">
        <f>$F$9*SQRT($E$9)*_xlfn.NORM.S.DIST(F16,FALSE)</f>
        <v>8.1533270830143643</v>
      </c>
      <c r="I16" s="8">
        <f>D16/H16</f>
        <v>9.5613788237532609E-6</v>
      </c>
    </row>
    <row r="17" spans="2:9" x14ac:dyDescent="0.15">
      <c r="B17" s="8">
        <f>B16-I16</f>
        <v>0.26679855593409346</v>
      </c>
      <c r="C17">
        <f>callOption($C$9,$D$9,$E$9,$B17,$F$9)</f>
        <v>1.8900000000065802</v>
      </c>
      <c r="D17">
        <f>C17-$G$9</f>
        <v>6.5802918669533028E-12</v>
      </c>
      <c r="E17">
        <f>VEGA($C$9,$D$9,$E$9,$B17,$F$9)</f>
        <v>8.1533257060132023</v>
      </c>
      <c r="F17">
        <f>dOne($C$9,$D$9,$E$9,B17,$F$9)</f>
        <v>-2.2339491400645856E-2</v>
      </c>
      <c r="G17">
        <f>_xlfn.NORM.S.DIST(F17,FALSE)</f>
        <v>0.39884274617395571</v>
      </c>
      <c r="H17">
        <f>$F$9*SQRT($E$9)*_xlfn.NORM.S.DIST(F17,FALSE)</f>
        <v>8.1533257060132023</v>
      </c>
      <c r="I17" s="8">
        <f>D17/H17</f>
        <v>8.0706844105347554E-13</v>
      </c>
    </row>
  </sheetData>
  <mergeCells count="1">
    <mergeCell ref="A1:D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TextBox1">
          <controlPr defaultSize="0" autoLine="0" r:id="rId4">
            <anchor moveWithCells="1">
              <from>
                <xdr:col>10</xdr:col>
                <xdr:colOff>447675</xdr:colOff>
                <xdr:row>3</xdr:row>
                <xdr:rowOff>9525</xdr:rowOff>
              </from>
              <to>
                <xdr:col>12</xdr:col>
                <xdr:colOff>47625</xdr:colOff>
                <xdr:row>5</xdr:row>
                <xdr:rowOff>9525</xdr:rowOff>
              </to>
            </anchor>
          </controlPr>
        </control>
      </mc:Choice>
      <mc:Fallback>
        <control shapeId="3074" r:id="rId3" name="TextBox1"/>
      </mc:Fallback>
    </mc:AlternateContent>
    <mc:AlternateContent xmlns:mc="http://schemas.openxmlformats.org/markup-compatibility/2006">
      <mc:Choice Requires="x14">
        <control shapeId="3076" r:id="rId5" name="Label 4">
          <controlPr defaultSize="0" autoFill="0" autoLine="0" autoPict="0" macro="[0]!标签4_Click" altText="TEXT1">
            <anchor moveWithCells="1" sizeWithCells="1">
              <from>
                <xdr:col>8</xdr:col>
                <xdr:colOff>447675</xdr:colOff>
                <xdr:row>2</xdr:row>
                <xdr:rowOff>114300</xdr:rowOff>
              </from>
              <to>
                <xdr:col>9</xdr:col>
                <xdr:colOff>514350</xdr:colOff>
                <xdr:row>4</xdr:row>
                <xdr:rowOff>19050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1"/>
  <sheetViews>
    <sheetView workbookViewId="0">
      <selection activeCell="E16" sqref="E16"/>
    </sheetView>
  </sheetViews>
  <sheetFormatPr defaultRowHeight="13.5" x14ac:dyDescent="0.15"/>
  <cols>
    <col min="1" max="1" width="19.375" bestFit="1" customWidth="1"/>
  </cols>
  <sheetData>
    <row r="1" spans="1:6" x14ac:dyDescent="0.15">
      <c r="A1" s="16" t="s">
        <v>27</v>
      </c>
      <c r="B1" s="16"/>
      <c r="C1" s="16"/>
      <c r="D1" s="16"/>
    </row>
    <row r="3" spans="1:6" x14ac:dyDescent="0.15">
      <c r="A3" t="s">
        <v>28</v>
      </c>
      <c r="B3" t="s">
        <v>30</v>
      </c>
      <c r="C3" t="s">
        <v>31</v>
      </c>
      <c r="D3" t="s">
        <v>32</v>
      </c>
      <c r="E3" t="s">
        <v>33</v>
      </c>
    </row>
    <row r="4" spans="1:6" x14ac:dyDescent="0.15">
      <c r="A4" t="s">
        <v>29</v>
      </c>
      <c r="B4" s="4">
        <v>0.3</v>
      </c>
      <c r="C4" s="4">
        <v>0.03</v>
      </c>
      <c r="D4">
        <v>30</v>
      </c>
      <c r="E4">
        <v>1</v>
      </c>
    </row>
    <row r="6" spans="1:6" x14ac:dyDescent="0.15">
      <c r="A6" t="s">
        <v>34</v>
      </c>
      <c r="B6">
        <v>28.91</v>
      </c>
      <c r="C6">
        <v>4</v>
      </c>
      <c r="D6">
        <v>6</v>
      </c>
      <c r="E6">
        <v>8</v>
      </c>
      <c r="F6">
        <v>10</v>
      </c>
    </row>
    <row r="7" spans="1:6" x14ac:dyDescent="0.15">
      <c r="A7" t="s">
        <v>46</v>
      </c>
      <c r="B7">
        <f>B18</f>
        <v>3.3584733947837648</v>
      </c>
      <c r="C7">
        <f t="shared" ref="C7:F7" si="0">C18</f>
        <v>8.5440049034335221E-12</v>
      </c>
      <c r="D7">
        <f t="shared" si="0"/>
        <v>4.9062637068981067E-8</v>
      </c>
      <c r="E7">
        <f t="shared" si="0"/>
        <v>7.9944147080497662E-6</v>
      </c>
      <c r="F7">
        <f t="shared" si="0"/>
        <v>2.3114423685187922E-4</v>
      </c>
    </row>
    <row r="8" spans="1:6" x14ac:dyDescent="0.15">
      <c r="A8" t="s">
        <v>44</v>
      </c>
      <c r="B8">
        <f>MAX(B6-$D$4/EXP($C$4*$E$4),0)</f>
        <v>0</v>
      </c>
      <c r="C8">
        <f t="shared" ref="C8:F8" si="1">MAX(C6-$D$4/EXP($C$4*$E$4),0)</f>
        <v>0</v>
      </c>
      <c r="D8">
        <f t="shared" si="1"/>
        <v>0</v>
      </c>
      <c r="E8">
        <f t="shared" si="1"/>
        <v>0</v>
      </c>
      <c r="F8">
        <f t="shared" si="1"/>
        <v>0</v>
      </c>
    </row>
    <row r="9" spans="1:6" x14ac:dyDescent="0.15">
      <c r="A9" s="5" t="s">
        <v>43</v>
      </c>
      <c r="B9" s="5">
        <f>B7-B8</f>
        <v>3.3584733947837648</v>
      </c>
      <c r="C9" s="5">
        <f>C7-C8</f>
        <v>8.5440049034335221E-12</v>
      </c>
      <c r="D9" s="5">
        <f>D7-D8</f>
        <v>4.9062637068981067E-8</v>
      </c>
      <c r="E9" s="5">
        <f>E7-E8</f>
        <v>7.9944147080497662E-6</v>
      </c>
      <c r="F9" s="5">
        <f>F7-F8</f>
        <v>2.3114423685187922E-4</v>
      </c>
    </row>
    <row r="10" spans="1:6" x14ac:dyDescent="0.15">
      <c r="A10" t="s">
        <v>45</v>
      </c>
      <c r="B10">
        <f>B21</f>
        <v>3.5618394012390091</v>
      </c>
      <c r="C10">
        <f t="shared" ref="C10:F10" si="2">C21</f>
        <v>25.113366006463789</v>
      </c>
      <c r="D10">
        <f t="shared" si="2"/>
        <v>23.113366055517879</v>
      </c>
      <c r="E10">
        <f t="shared" si="2"/>
        <v>21.113374000869953</v>
      </c>
      <c r="F10">
        <f t="shared" si="2"/>
        <v>19.113597150692097</v>
      </c>
    </row>
    <row r="11" spans="1:6" x14ac:dyDescent="0.15">
      <c r="A11" t="s">
        <v>44</v>
      </c>
      <c r="B11">
        <f>MAX($D$4/EXP($C$4*$E$4)-B$6,0)</f>
        <v>0.20336600645524427</v>
      </c>
      <c r="C11">
        <f t="shared" ref="C11:F11" si="3">MAX($D$4/EXP($C$4*$E$4)-C$6,0)</f>
        <v>25.113366006455244</v>
      </c>
      <c r="D11">
        <f t="shared" si="3"/>
        <v>23.113366006455244</v>
      </c>
      <c r="E11">
        <f t="shared" si="3"/>
        <v>21.113366006455244</v>
      </c>
      <c r="F11">
        <f t="shared" si="3"/>
        <v>19.113366006455244</v>
      </c>
    </row>
    <row r="12" spans="1:6" x14ac:dyDescent="0.15">
      <c r="A12" s="5" t="s">
        <v>43</v>
      </c>
      <c r="B12" s="5">
        <f>B10-B11</f>
        <v>3.3584733947837648</v>
      </c>
      <c r="C12" s="5">
        <f>C10-C11</f>
        <v>8.5442763975152047E-12</v>
      </c>
      <c r="D12" s="5">
        <f>D10-D11</f>
        <v>4.9062634843721753E-8</v>
      </c>
      <c r="E12" s="5">
        <f>E10-E11</f>
        <v>7.9944147088895079E-6</v>
      </c>
      <c r="F12" s="5">
        <f>F10-F11</f>
        <v>2.3114423685299812E-4</v>
      </c>
    </row>
    <row r="14" spans="1:6" x14ac:dyDescent="0.15">
      <c r="A14" t="s">
        <v>35</v>
      </c>
      <c r="B14">
        <f t="shared" ref="B14:E14" si="4">(LN(B$6/$D$4)+($C$4+0.5*$B$4^2)*$E$4)/($B$4*SQRT($E$4))</f>
        <v>0.12663391455366441</v>
      </c>
      <c r="C14">
        <f t="shared" si="4"/>
        <v>-6.4663434018075492</v>
      </c>
      <c r="D14">
        <f t="shared" si="4"/>
        <v>-5.1147930414470011</v>
      </c>
      <c r="E14">
        <f t="shared" si="4"/>
        <v>-4.1558527999410657</v>
      </c>
      <c r="F14">
        <f>(LN(F$6/$D$4)+($C$4+0.5*$B$4^2)*$E$4)/($B$4*SQRT($E$4))</f>
        <v>-3.4120409622270329</v>
      </c>
    </row>
    <row r="15" spans="1:6" x14ac:dyDescent="0.15">
      <c r="A15" t="s">
        <v>36</v>
      </c>
      <c r="B15">
        <f t="shared" ref="B15:E15" si="5">(LN(B$6/$D$4)+($C$4-0.5*$B$4^2)*$E$4)/($B$4*SQRT($E$4))</f>
        <v>-0.17336608544633561</v>
      </c>
      <c r="C15">
        <f t="shared" si="5"/>
        <v>-6.7663434018075499</v>
      </c>
      <c r="D15">
        <f t="shared" si="5"/>
        <v>-5.4147930414470009</v>
      </c>
      <c r="E15">
        <f t="shared" si="5"/>
        <v>-4.4558527999410646</v>
      </c>
      <c r="F15">
        <f>(LN(F$6/$D$4)+($C$4-0.5*$B$4^2)*$E$4)/($B$4*SQRT($E$4))</f>
        <v>-3.7120409622270323</v>
      </c>
    </row>
    <row r="16" spans="1:6" x14ac:dyDescent="0.15">
      <c r="A16" t="s">
        <v>37</v>
      </c>
      <c r="B16">
        <f t="shared" ref="B16:E17" si="6">NORMSDIST(B14)</f>
        <v>0.55038492345704837</v>
      </c>
      <c r="C16">
        <f t="shared" si="6"/>
        <v>5.0201385706553177E-11</v>
      </c>
      <c r="D16">
        <f t="shared" si="6"/>
        <v>1.5704256631134184E-7</v>
      </c>
      <c r="E16">
        <f t="shared" si="6"/>
        <v>1.6203821757130523E-5</v>
      </c>
      <c r="F16">
        <f>NORMSDIST(F14)</f>
        <v>3.2239211654314857E-4</v>
      </c>
    </row>
    <row r="17" spans="1:6" x14ac:dyDescent="0.15">
      <c r="A17" t="s">
        <v>38</v>
      </c>
      <c r="B17">
        <f t="shared" si="6"/>
        <v>0.43118184065614806</v>
      </c>
      <c r="C17">
        <f t="shared" si="6"/>
        <v>6.6038924485801282E-12</v>
      </c>
      <c r="D17">
        <f t="shared" si="6"/>
        <v>3.0679817668662022E-8</v>
      </c>
      <c r="E17">
        <f t="shared" si="6"/>
        <v>4.1780177297954587E-6</v>
      </c>
      <c r="F17">
        <f>NORMSDIST(F15)</f>
        <v>1.0279735183887787E-4</v>
      </c>
    </row>
    <row r="18" spans="1:6" x14ac:dyDescent="0.15">
      <c r="A18" t="s">
        <v>39</v>
      </c>
      <c r="B18">
        <f t="shared" ref="B18:E18" si="7">B$6*B16-$D$4*EXP(-$C$4*$E$4)*B17</f>
        <v>3.3584733947837648</v>
      </c>
      <c r="C18">
        <f t="shared" si="7"/>
        <v>8.5440049034335221E-12</v>
      </c>
      <c r="D18">
        <f t="shared" si="7"/>
        <v>4.9062637068981067E-8</v>
      </c>
      <c r="E18">
        <f t="shared" si="7"/>
        <v>7.9944147080497662E-6</v>
      </c>
      <c r="F18">
        <f>F$6*F16-$D$4*EXP(-$C$4*$E$4)*F17</f>
        <v>2.3114423685187922E-4</v>
      </c>
    </row>
    <row r="19" spans="1:6" x14ac:dyDescent="0.15">
      <c r="A19" t="s">
        <v>40</v>
      </c>
      <c r="B19">
        <f t="shared" ref="B19:E20" si="8">1-NORMSDIST(B14)</f>
        <v>0.44961507654295163</v>
      </c>
      <c r="C19">
        <f t="shared" si="8"/>
        <v>0.9999999999497986</v>
      </c>
      <c r="D19">
        <f t="shared" si="8"/>
        <v>0.99999984295743372</v>
      </c>
      <c r="E19">
        <f t="shared" si="8"/>
        <v>0.99998379617824285</v>
      </c>
      <c r="F19">
        <f>1-NORMSDIST(F14)</f>
        <v>0.99967760788345683</v>
      </c>
    </row>
    <row r="20" spans="1:6" x14ac:dyDescent="0.15">
      <c r="A20" t="s">
        <v>41</v>
      </c>
      <c r="B20">
        <f t="shared" si="8"/>
        <v>0.56881815934385194</v>
      </c>
      <c r="C20">
        <f t="shared" si="8"/>
        <v>0.99999999999339606</v>
      </c>
      <c r="D20">
        <f t="shared" si="8"/>
        <v>0.99999996932018231</v>
      </c>
      <c r="E20">
        <f t="shared" si="8"/>
        <v>0.99999582198227022</v>
      </c>
      <c r="F20">
        <f>1-NORMSDIST(F15)</f>
        <v>0.99989720264816118</v>
      </c>
    </row>
    <row r="21" spans="1:6" x14ac:dyDescent="0.15">
      <c r="A21" t="s">
        <v>42</v>
      </c>
      <c r="B21">
        <f t="shared" ref="B21:E21" si="9">$D$4*EXP(-$C$4*$E$4)*B20 -B$6*B19</f>
        <v>3.5618394012390091</v>
      </c>
      <c r="C21">
        <f t="shared" si="9"/>
        <v>25.113366006463789</v>
      </c>
      <c r="D21">
        <f t="shared" si="9"/>
        <v>23.113366055517879</v>
      </c>
      <c r="E21">
        <f t="shared" si="9"/>
        <v>21.113374000869953</v>
      </c>
      <c r="F21">
        <f>$D$4*EXP(-$C$4*$E$4)*F20 -F$6*F19</f>
        <v>19.113597150692097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60"/>
  <sheetViews>
    <sheetView topLeftCell="A4" workbookViewId="0">
      <selection activeCell="I19" sqref="I19"/>
    </sheetView>
  </sheetViews>
  <sheetFormatPr defaultRowHeight="13.5" x14ac:dyDescent="0.15"/>
  <cols>
    <col min="1" max="1" width="13.125" bestFit="1" customWidth="1"/>
    <col min="7" max="7" width="19.375" bestFit="1" customWidth="1"/>
  </cols>
  <sheetData>
    <row r="1" spans="1:13" x14ac:dyDescent="0.15">
      <c r="A1" t="s">
        <v>60</v>
      </c>
      <c r="B1">
        <v>20</v>
      </c>
    </row>
    <row r="2" spans="1:13" x14ac:dyDescent="0.15">
      <c r="A2" t="s">
        <v>61</v>
      </c>
      <c r="B2">
        <v>20</v>
      </c>
    </row>
    <row r="3" spans="1:13" x14ac:dyDescent="0.15">
      <c r="A3" t="s">
        <v>62</v>
      </c>
      <c r="B3" s="4">
        <v>0.03</v>
      </c>
    </row>
    <row r="4" spans="1:13" x14ac:dyDescent="0.15">
      <c r="A4" t="s">
        <v>63</v>
      </c>
      <c r="B4">
        <v>1</v>
      </c>
    </row>
    <row r="5" spans="1:13" x14ac:dyDescent="0.15">
      <c r="A5" t="s">
        <v>64</v>
      </c>
      <c r="B5" s="4">
        <v>0.25</v>
      </c>
    </row>
    <row r="7" spans="1:13" x14ac:dyDescent="0.15">
      <c r="A7" t="s">
        <v>65</v>
      </c>
      <c r="B7">
        <f>dOne($B$3,$B$2,$B$4,$B$5,$B$1)</f>
        <v>0.245</v>
      </c>
    </row>
    <row r="8" spans="1:13" x14ac:dyDescent="0.15">
      <c r="A8" t="s">
        <v>66</v>
      </c>
      <c r="B8">
        <f>dTwo($B$3,$B$2,$B$4,$B$5,$B$1)</f>
        <v>-5.0000000000000044E-3</v>
      </c>
    </row>
    <row r="9" spans="1:13" x14ac:dyDescent="0.15">
      <c r="A9" t="s">
        <v>67</v>
      </c>
      <c r="B9">
        <f>_xlfn.NORM.S.DIST(B7,TRUE)</f>
        <v>0.59677178432052447</v>
      </c>
    </row>
    <row r="10" spans="1:13" x14ac:dyDescent="0.15">
      <c r="A10" t="s">
        <v>68</v>
      </c>
      <c r="B10">
        <f>_xlfn.NORM.S.DIST(B8,TRUE)</f>
        <v>0.49800529690925915</v>
      </c>
    </row>
    <row r="11" spans="1:13" x14ac:dyDescent="0.15">
      <c r="A11" t="s">
        <v>69</v>
      </c>
      <c r="B11">
        <f>callOption($B$3,$B$2,$B$4,$B$5,$B$1)</f>
        <v>2.2696953650287064</v>
      </c>
    </row>
    <row r="13" spans="1:13" x14ac:dyDescent="0.15">
      <c r="A13" t="s">
        <v>70</v>
      </c>
      <c r="B13" t="s">
        <v>71</v>
      </c>
      <c r="E13" t="s">
        <v>72</v>
      </c>
      <c r="F13" t="s">
        <v>73</v>
      </c>
      <c r="G13" t="s">
        <v>74</v>
      </c>
      <c r="H13" t="s">
        <v>75</v>
      </c>
      <c r="J13" t="s">
        <v>72</v>
      </c>
      <c r="K13" t="s">
        <v>73</v>
      </c>
      <c r="L13" t="s">
        <v>75</v>
      </c>
      <c r="M13" t="s">
        <v>74</v>
      </c>
    </row>
    <row r="14" spans="1:13" x14ac:dyDescent="0.15">
      <c r="B14">
        <f>B11</f>
        <v>2.2696953650287064</v>
      </c>
      <c r="F14">
        <f>B11</f>
        <v>2.2696953650287064</v>
      </c>
      <c r="K14">
        <f>B11</f>
        <v>2.2696953650287064</v>
      </c>
    </row>
    <row r="15" spans="1:13" x14ac:dyDescent="0.15">
      <c r="A15" s="4">
        <v>0.01</v>
      </c>
      <c r="B15">
        <f t="dataTable" ref="B15:B29" dt2D="0" dtr="0" r1="B3" ca="1"/>
        <v>2.080707830599323</v>
      </c>
      <c r="E15" s="4">
        <v>0.01</v>
      </c>
      <c r="F15">
        <f t="dataTable" ref="F15:F39" dt2D="0" dtr="0" r1="B5" ca="1"/>
        <v>0.5911646211712025</v>
      </c>
      <c r="G15">
        <f>VEGA($B$3,$B$2,$B$4,E15,$B$1)</f>
        <v>8.7316244242345423E-2</v>
      </c>
      <c r="H15">
        <f>(F16-F15)/(E16-E15)</f>
        <v>1.1472479307059302</v>
      </c>
      <c r="J15" s="9">
        <v>0.01</v>
      </c>
      <c r="K15">
        <f t="dataTable" ref="K15:K160" dt2D="0" dtr="0" r1="B5"/>
        <v>0.5911646211712025</v>
      </c>
      <c r="L15">
        <f t="shared" ref="L15:L46" si="0">(K16-K15)/(J16-J15)</f>
        <v>0.19926631686040253</v>
      </c>
      <c r="M15">
        <f t="shared" ref="M15:M46" si="1">VEGA($B$3,$B$2,$B$4,J15,$B$1)</f>
        <v>8.7316244242345423E-2</v>
      </c>
    </row>
    <row r="16" spans="1:13" x14ac:dyDescent="0.15">
      <c r="A16" s="4">
        <v>0.02</v>
      </c>
      <c r="B16">
        <v>2.1741116981115187</v>
      </c>
      <c r="E16" s="4">
        <v>0.02</v>
      </c>
      <c r="F16">
        <v>0.6026371004782618</v>
      </c>
      <c r="G16">
        <f t="shared" ref="G16:G38" si="2">VEGA($B$3,$B$2,$B$4,E16,$B$1)</f>
        <v>2.5516590114428386</v>
      </c>
      <c r="H16">
        <f t="shared" ref="H16:H39" si="3">(F17-F16)/(E17-E16)</f>
        <v>3.7693750994105106</v>
      </c>
      <c r="J16" s="9">
        <v>1.2E-2</v>
      </c>
      <c r="K16">
        <v>0.5915631538049233</v>
      </c>
      <c r="L16">
        <f t="shared" si="0"/>
        <v>0.55496965615908778</v>
      </c>
      <c r="M16">
        <f t="shared" si="1"/>
        <v>0.34534054575752349</v>
      </c>
    </row>
    <row r="17" spans="1:13" x14ac:dyDescent="0.15">
      <c r="A17" s="4">
        <v>0.03</v>
      </c>
      <c r="B17">
        <v>2.2696953650287064</v>
      </c>
      <c r="E17" s="4">
        <v>0.03</v>
      </c>
      <c r="F17">
        <v>0.6403308514723669</v>
      </c>
      <c r="G17">
        <f t="shared" si="2"/>
        <v>4.7668286967696289</v>
      </c>
      <c r="H17">
        <f t="shared" si="3"/>
        <v>5.4117810745756492</v>
      </c>
      <c r="J17" s="9">
        <v>1.4E-2</v>
      </c>
      <c r="K17">
        <v>0.59267309311724148</v>
      </c>
      <c r="L17">
        <f t="shared" si="0"/>
        <v>1.0668754015590309</v>
      </c>
      <c r="M17">
        <f t="shared" si="1"/>
        <v>0.79124381128300325</v>
      </c>
    </row>
    <row r="18" spans="1:13" x14ac:dyDescent="0.15">
      <c r="A18" s="4">
        <v>0.04</v>
      </c>
      <c r="B18">
        <v>2.367409288164815</v>
      </c>
      <c r="E18" s="4">
        <v>0.04</v>
      </c>
      <c r="F18">
        <v>0.6944486622181234</v>
      </c>
      <c r="G18">
        <f t="shared" si="2"/>
        <v>5.9318950998763151</v>
      </c>
      <c r="H18">
        <f t="shared" si="3"/>
        <v>6.2774229058302202</v>
      </c>
      <c r="J18" s="9">
        <v>1.6E-2</v>
      </c>
      <c r="K18">
        <v>0.59480684392035954</v>
      </c>
      <c r="L18">
        <f t="shared" si="0"/>
        <v>1.6567833617155954</v>
      </c>
      <c r="M18">
        <f t="shared" si="1"/>
        <v>1.3552002648517301</v>
      </c>
    </row>
    <row r="19" spans="1:13" x14ac:dyDescent="0.15">
      <c r="A19" s="4">
        <v>0.05</v>
      </c>
      <c r="B19">
        <v>2.467199786073742</v>
      </c>
      <c r="E19" s="4">
        <v>0.05</v>
      </c>
      <c r="F19">
        <v>0.75722289127642561</v>
      </c>
      <c r="G19">
        <f t="shared" si="2"/>
        <v>6.5632193710075013</v>
      </c>
      <c r="H19">
        <f t="shared" si="3"/>
        <v>6.7634885999302332</v>
      </c>
      <c r="J19" s="9">
        <v>1.8000000000000002E-2</v>
      </c>
      <c r="K19">
        <v>0.59812041064379073</v>
      </c>
      <c r="L19">
        <f t="shared" si="0"/>
        <v>2.2583449172355348</v>
      </c>
      <c r="M19">
        <f t="shared" si="1"/>
        <v>1.9598429675982298</v>
      </c>
    </row>
    <row r="20" spans="1:13" x14ac:dyDescent="0.15">
      <c r="A20" s="4">
        <v>6.0000000000000005E-2</v>
      </c>
      <c r="B20">
        <v>2.5690092323445519</v>
      </c>
      <c r="E20" s="4">
        <v>6.0000000000000005E-2</v>
      </c>
      <c r="F20">
        <v>0.82485777727572795</v>
      </c>
      <c r="G20">
        <f t="shared" si="2"/>
        <v>6.9333544267158329</v>
      </c>
      <c r="H20">
        <f t="shared" si="3"/>
        <v>7.0580358296515735</v>
      </c>
      <c r="J20" s="9">
        <v>0.02</v>
      </c>
      <c r="K20">
        <v>0.6026371004782618</v>
      </c>
      <c r="L20">
        <f t="shared" si="0"/>
        <v>2.8308938054628663</v>
      </c>
      <c r="M20">
        <f t="shared" si="1"/>
        <v>2.5516590114428386</v>
      </c>
    </row>
    <row r="21" spans="1:13" x14ac:dyDescent="0.15">
      <c r="A21" s="4">
        <v>6.9999999999999993E-2</v>
      </c>
      <c r="B21">
        <v>2.6727762666020265</v>
      </c>
      <c r="E21" s="4">
        <v>6.9999999999999993E-2</v>
      </c>
      <c r="F21">
        <v>0.89543813557224361</v>
      </c>
      <c r="G21">
        <f t="shared" si="2"/>
        <v>7.1659776906477424</v>
      </c>
      <c r="H21">
        <f t="shared" si="3"/>
        <v>7.2481865752715473</v>
      </c>
      <c r="J21" s="9">
        <v>2.1999999999999999E-2</v>
      </c>
      <c r="K21">
        <v>0.60829888808918753</v>
      </c>
      <c r="L21">
        <f t="shared" si="0"/>
        <v>3.3547273031899718</v>
      </c>
      <c r="M21">
        <f t="shared" si="1"/>
        <v>3.1017956143383039</v>
      </c>
    </row>
    <row r="22" spans="1:13" x14ac:dyDescent="0.15">
      <c r="A22" s="4">
        <v>0.08</v>
      </c>
      <c r="B22">
        <v>2.7784360217077104</v>
      </c>
      <c r="E22" s="4">
        <v>0.08</v>
      </c>
      <c r="F22">
        <v>0.96792000132495914</v>
      </c>
      <c r="G22">
        <f t="shared" si="2"/>
        <v>7.3205190969980212</v>
      </c>
      <c r="H22">
        <f t="shared" si="3"/>
        <v>7.3772309328072474</v>
      </c>
      <c r="J22" s="9">
        <v>2.4E-2</v>
      </c>
      <c r="K22">
        <v>0.61500834269556748</v>
      </c>
      <c r="L22">
        <f t="shared" si="0"/>
        <v>3.8233104425895412</v>
      </c>
      <c r="M22">
        <f t="shared" si="1"/>
        <v>3.5983368059089575</v>
      </c>
    </row>
    <row r="23" spans="1:13" x14ac:dyDescent="0.15">
      <c r="A23" s="4">
        <v>0.09</v>
      </c>
      <c r="B23">
        <v>2.8859203655433188</v>
      </c>
      <c r="E23" s="4">
        <v>0.09</v>
      </c>
      <c r="F23">
        <v>1.0416923106530316</v>
      </c>
      <c r="G23">
        <f t="shared" si="2"/>
        <v>7.4277700423605513</v>
      </c>
      <c r="H23">
        <f t="shared" si="3"/>
        <v>7.4683119534714884</v>
      </c>
      <c r="J23" s="9">
        <v>2.6000000000000002E-2</v>
      </c>
      <c r="K23">
        <v>0.62265496358074657</v>
      </c>
      <c r="L23">
        <f t="shared" si="0"/>
        <v>4.2372744204257593</v>
      </c>
      <c r="M23">
        <f t="shared" si="1"/>
        <v>4.0391277571869555</v>
      </c>
    </row>
    <row r="24" spans="1:13" x14ac:dyDescent="0.15">
      <c r="A24" s="4">
        <v>9.9999999999999992E-2</v>
      </c>
      <c r="B24">
        <v>2.99515815566226</v>
      </c>
      <c r="E24" s="4">
        <v>9.9999999999999992E-2</v>
      </c>
      <c r="F24">
        <v>1.1163754301877464</v>
      </c>
      <c r="G24">
        <f t="shared" si="2"/>
        <v>7.5048069383387581</v>
      </c>
      <c r="H24">
        <f t="shared" si="3"/>
        <v>7.5346158650958657</v>
      </c>
      <c r="J24" s="9">
        <v>2.8000000000000004E-2</v>
      </c>
      <c r="K24">
        <v>0.63112951242159809</v>
      </c>
      <c r="L24">
        <f t="shared" si="0"/>
        <v>4.6006695253844159</v>
      </c>
      <c r="M24">
        <f t="shared" si="1"/>
        <v>4.4269734148937658</v>
      </c>
    </row>
    <row r="25" spans="1:13" x14ac:dyDescent="0.15">
      <c r="A25" s="4">
        <v>0.11</v>
      </c>
      <c r="B25">
        <v>3.1060755050161006</v>
      </c>
      <c r="E25" s="4">
        <v>0.11</v>
      </c>
      <c r="F25">
        <v>1.1917215888387052</v>
      </c>
      <c r="G25">
        <f t="shared" si="2"/>
        <v>7.5616631373115428</v>
      </c>
      <c r="H25">
        <f t="shared" si="3"/>
        <v>7.5840699883540843</v>
      </c>
      <c r="J25" s="9">
        <v>0.03</v>
      </c>
      <c r="K25">
        <v>0.6403308514723669</v>
      </c>
      <c r="L25">
        <f t="shared" si="0"/>
        <v>4.9188561776283235</v>
      </c>
      <c r="M25">
        <f t="shared" si="1"/>
        <v>4.7668286967696289</v>
      </c>
    </row>
    <row r="26" spans="1:13" x14ac:dyDescent="0.15">
      <c r="A26" s="4">
        <v>0.12</v>
      </c>
      <c r="B26">
        <v>3.2185960569024363</v>
      </c>
      <c r="E26" s="4">
        <v>0.12</v>
      </c>
      <c r="F26">
        <v>1.267562288722246</v>
      </c>
      <c r="G26">
        <f t="shared" si="2"/>
        <v>7.6045270950264987</v>
      </c>
      <c r="H26">
        <f t="shared" si="3"/>
        <v>7.6216599919094392</v>
      </c>
      <c r="J26" s="9">
        <v>3.2000000000000001E-2</v>
      </c>
      <c r="K26">
        <v>0.65016856382762356</v>
      </c>
      <c r="L26">
        <f t="shared" si="0"/>
        <v>5.1974044162319499</v>
      </c>
      <c r="M26">
        <f t="shared" si="1"/>
        <v>5.0642832400104982</v>
      </c>
    </row>
    <row r="27" spans="1:13" x14ac:dyDescent="0.15">
      <c r="A27" s="4">
        <v>0.13</v>
      </c>
      <c r="B27">
        <v>3.3326412672384969</v>
      </c>
      <c r="E27" s="4">
        <v>0.13</v>
      </c>
      <c r="F27">
        <v>1.3437788886413404</v>
      </c>
      <c r="G27">
        <f t="shared" si="2"/>
        <v>7.6373754862162269</v>
      </c>
      <c r="H27">
        <f t="shared" si="3"/>
        <v>7.6506434889491644</v>
      </c>
      <c r="J27" s="9">
        <v>3.4000000000000002E-2</v>
      </c>
      <c r="K27">
        <v>0.66056337266008747</v>
      </c>
      <c r="L27">
        <f t="shared" si="0"/>
        <v>5.4415669070282346</v>
      </c>
      <c r="M27">
        <f t="shared" si="1"/>
        <v>5.324803896387813</v>
      </c>
    </row>
    <row r="28" spans="1:13" x14ac:dyDescent="0.15">
      <c r="A28" s="4">
        <v>0.14000000000000001</v>
      </c>
      <c r="B28">
        <v>3.4481306922418522</v>
      </c>
      <c r="E28" s="4">
        <v>0.14000000000000001</v>
      </c>
      <c r="F28">
        <v>1.4202853235308321</v>
      </c>
      <c r="G28">
        <f t="shared" si="2"/>
        <v>7.662854440303418</v>
      </c>
      <c r="H28">
        <f t="shared" si="3"/>
        <v>7.6732195251691877</v>
      </c>
      <c r="J28" s="9">
        <v>3.6000000000000004E-2</v>
      </c>
      <c r="K28">
        <v>0.67144650647414394</v>
      </c>
      <c r="L28">
        <f t="shared" si="0"/>
        <v>5.6560618957499784</v>
      </c>
      <c r="M28">
        <f t="shared" si="1"/>
        <v>5.5533953647269287</v>
      </c>
    </row>
    <row r="29" spans="1:13" x14ac:dyDescent="0.15">
      <c r="A29" s="4">
        <v>0.15</v>
      </c>
      <c r="B29">
        <v>3.5649822795947799</v>
      </c>
      <c r="E29" s="4">
        <v>0.15000000000000002</v>
      </c>
      <c r="F29">
        <v>1.4970175187825241</v>
      </c>
      <c r="G29">
        <f t="shared" si="2"/>
        <v>7.6827783061140948</v>
      </c>
      <c r="H29">
        <f t="shared" si="3"/>
        <v>7.6909148755406918</v>
      </c>
      <c r="J29" s="9">
        <v>3.7999999999999999E-2</v>
      </c>
      <c r="K29">
        <v>0.68275863026564387</v>
      </c>
      <c r="L29">
        <f t="shared" si="0"/>
        <v>5.8450159762397593</v>
      </c>
      <c r="M29">
        <f t="shared" si="1"/>
        <v>5.7544812052147307</v>
      </c>
    </row>
    <row r="30" spans="1:13" x14ac:dyDescent="0.15">
      <c r="E30" s="4">
        <v>0.16</v>
      </c>
      <c r="F30">
        <v>1.5739266675379309</v>
      </c>
      <c r="G30">
        <f t="shared" si="2"/>
        <v>7.6984238673038705</v>
      </c>
      <c r="H30">
        <f t="shared" si="3"/>
        <v>7.7048157997816986</v>
      </c>
      <c r="J30" s="9">
        <v>0.04</v>
      </c>
      <c r="K30">
        <v>0.6944486622181234</v>
      </c>
      <c r="L30">
        <f t="shared" si="0"/>
        <v>6.0119842589889618</v>
      </c>
      <c r="M30">
        <f t="shared" si="1"/>
        <v>5.9318950998763151</v>
      </c>
    </row>
    <row r="31" spans="1:13" x14ac:dyDescent="0.15">
      <c r="E31" s="4">
        <v>0.17</v>
      </c>
      <c r="F31">
        <v>1.6509748255357479</v>
      </c>
      <c r="G31">
        <f t="shared" si="2"/>
        <v>7.7107102664878173</v>
      </c>
      <c r="H31">
        <f t="shared" si="3"/>
        <v>7.7157118959343336</v>
      </c>
      <c r="J31" s="9">
        <v>4.2000000000000003E-2</v>
      </c>
      <c r="K31">
        <v>0.70647263073610134</v>
      </c>
      <c r="L31">
        <f t="shared" si="0"/>
        <v>6.1600040074791753</v>
      </c>
      <c r="M31">
        <f t="shared" si="1"/>
        <v>6.0889228827343622</v>
      </c>
    </row>
    <row r="32" spans="1:13" x14ac:dyDescent="0.15">
      <c r="E32" s="4">
        <v>0.18000000000000002</v>
      </c>
      <c r="F32">
        <v>1.7281319444950913</v>
      </c>
      <c r="G32">
        <f t="shared" si="2"/>
        <v>7.7203125692388275</v>
      </c>
      <c r="H32">
        <f t="shared" si="3"/>
        <v>7.7241881036212021</v>
      </c>
      <c r="J32" s="9">
        <v>4.4000000000000004E-2</v>
      </c>
      <c r="K32">
        <v>0.7187926387510597</v>
      </c>
      <c r="L32">
        <f t="shared" si="0"/>
        <v>6.2916590832244825</v>
      </c>
      <c r="M32">
        <f t="shared" si="1"/>
        <v>6.2283641608634461</v>
      </c>
    </row>
    <row r="33" spans="5:13" x14ac:dyDescent="0.15">
      <c r="E33" s="4">
        <v>0.19</v>
      </c>
      <c r="F33">
        <v>1.8053738255313032</v>
      </c>
      <c r="G33">
        <f t="shared" si="2"/>
        <v>7.7277354710525845</v>
      </c>
      <c r="H33">
        <f t="shared" si="3"/>
        <v>7.7306851239299519</v>
      </c>
      <c r="J33" s="9">
        <v>4.6000000000000006E-2</v>
      </c>
      <c r="K33">
        <v>0.73137595691750867</v>
      </c>
      <c r="L33">
        <f t="shared" si="0"/>
        <v>6.409144073131773</v>
      </c>
      <c r="M33">
        <f t="shared" si="1"/>
        <v>6.3525978147052955</v>
      </c>
    </row>
    <row r="34" spans="5:13" x14ac:dyDescent="0.15">
      <c r="E34" s="4">
        <v>0.2</v>
      </c>
      <c r="F34">
        <v>1.8826806767706028</v>
      </c>
      <c r="G34">
        <f t="shared" si="2"/>
        <v>7.7333623360569845</v>
      </c>
      <c r="H34">
        <f t="shared" si="3"/>
        <v>7.7355400440556039</v>
      </c>
      <c r="J34" s="9">
        <v>4.8000000000000001E-2</v>
      </c>
      <c r="K34">
        <v>0.74419424506377219</v>
      </c>
      <c r="L34">
        <f t="shared" si="0"/>
        <v>6.5143231063267075</v>
      </c>
      <c r="M34">
        <f t="shared" si="1"/>
        <v>6.4636439670650994</v>
      </c>
    </row>
    <row r="35" spans="5:13" x14ac:dyDescent="0.15">
      <c r="E35" s="4">
        <v>0.21000000000000002</v>
      </c>
      <c r="F35">
        <v>1.9600360772111589</v>
      </c>
      <c r="G35">
        <f t="shared" si="2"/>
        <v>7.7374885539707607</v>
      </c>
      <c r="H35">
        <f t="shared" si="3"/>
        <v>7.7390142346121991</v>
      </c>
      <c r="J35" s="9">
        <v>0.05</v>
      </c>
      <c r="K35">
        <v>0.75722289127642561</v>
      </c>
      <c r="L35">
        <f t="shared" si="0"/>
        <v>6.6087815484525629</v>
      </c>
      <c r="M35">
        <f t="shared" si="1"/>
        <v>6.5632193710075013</v>
      </c>
    </row>
    <row r="36" spans="5:13" x14ac:dyDescent="0.15">
      <c r="E36" s="4">
        <v>0.22</v>
      </c>
      <c r="F36">
        <v>2.0374262195572808</v>
      </c>
      <c r="G36">
        <f t="shared" si="2"/>
        <v>7.7403446860244438</v>
      </c>
      <c r="H36">
        <f t="shared" si="3"/>
        <v>7.7413128743753319</v>
      </c>
      <c r="J36" s="9">
        <v>5.2000000000000005E-2</v>
      </c>
      <c r="K36">
        <v>0.77044045437333075</v>
      </c>
      <c r="L36">
        <f t="shared" si="0"/>
        <v>6.6938703454440143</v>
      </c>
      <c r="M36">
        <f t="shared" si="1"/>
        <v>6.6527853859737265</v>
      </c>
    </row>
    <row r="37" spans="5:13" x14ac:dyDescent="0.15">
      <c r="E37" s="4">
        <v>0.23</v>
      </c>
      <c r="F37">
        <v>2.1148393483010341</v>
      </c>
      <c r="G37">
        <f t="shared" si="2"/>
        <v>7.7421128167564746</v>
      </c>
      <c r="H37">
        <f t="shared" si="3"/>
        <v>7.7425988521078111</v>
      </c>
      <c r="J37" s="9">
        <v>5.3999999999999999E-2</v>
      </c>
      <c r="K37">
        <v>0.78382819506421875</v>
      </c>
      <c r="L37">
        <f t="shared" si="0"/>
        <v>6.7707435213968319</v>
      </c>
      <c r="M37">
        <f t="shared" si="1"/>
        <v>6.7335887803487937</v>
      </c>
    </row>
    <row r="38" spans="5:13" x14ac:dyDescent="0.15">
      <c r="E38" s="4">
        <v>0.24000000000000002</v>
      </c>
      <c r="F38">
        <v>2.1922653368221123</v>
      </c>
      <c r="G38">
        <f t="shared" si="2"/>
        <v>7.7429382958509212</v>
      </c>
      <c r="H38">
        <f t="shared" si="3"/>
        <v>7.7430028206594201</v>
      </c>
      <c r="J38" s="9">
        <v>5.6000000000000001E-2</v>
      </c>
      <c r="K38">
        <v>0.79736968210701242</v>
      </c>
      <c r="L38">
        <f t="shared" si="0"/>
        <v>6.8403896224822285</v>
      </c>
      <c r="M38">
        <f t="shared" si="1"/>
        <v>6.8066960601066722</v>
      </c>
    </row>
    <row r="39" spans="5:13" x14ac:dyDescent="0.15">
      <c r="E39" s="4">
        <v>0.25</v>
      </c>
      <c r="F39">
        <v>2.2696953650287064</v>
      </c>
      <c r="G39">
        <f>VEGA($B$3,$B$2,$B$4,E39,$B$1)</f>
        <v>7.7429382958509212</v>
      </c>
      <c r="H39">
        <f t="shared" si="3"/>
        <v>9.0787814601148256</v>
      </c>
      <c r="J39" s="9">
        <v>5.8000000000000003E-2</v>
      </c>
      <c r="K39">
        <v>0.81105046135197689</v>
      </c>
      <c r="L39">
        <f t="shared" si="0"/>
        <v>6.9036579618755249</v>
      </c>
      <c r="M39">
        <f t="shared" si="1"/>
        <v>6.8730221721579259</v>
      </c>
    </row>
    <row r="40" spans="5:13" x14ac:dyDescent="0.15">
      <c r="E40" s="4"/>
      <c r="J40" s="9">
        <v>6.0000000000000005E-2</v>
      </c>
      <c r="K40">
        <v>0.82485777727572795</v>
      </c>
      <c r="L40">
        <f t="shared" si="0"/>
        <v>6.9612804769096863</v>
      </c>
      <c r="M40">
        <f t="shared" si="1"/>
        <v>6.9333544267158329</v>
      </c>
    </row>
    <row r="41" spans="5:13" x14ac:dyDescent="0.15">
      <c r="E41" s="4"/>
      <c r="J41" s="9">
        <v>6.2000000000000006E-2</v>
      </c>
      <c r="K41">
        <v>0.83878033822954734</v>
      </c>
      <c r="L41">
        <f t="shared" si="0"/>
        <v>7.0138899218230755</v>
      </c>
      <c r="M41">
        <f t="shared" si="1"/>
        <v>6.988372409986888</v>
      </c>
    </row>
    <row r="42" spans="5:13" x14ac:dyDescent="0.15">
      <c r="E42" s="4"/>
      <c r="J42" s="9">
        <v>6.4000000000000001E-2</v>
      </c>
      <c r="K42">
        <v>0.85280811807319346</v>
      </c>
      <c r="L42">
        <f t="shared" si="0"/>
        <v>7.0620350190830843</v>
      </c>
      <c r="M42">
        <f t="shared" si="1"/>
        <v>7.038664560740556</v>
      </c>
    </row>
    <row r="43" spans="5:13" x14ac:dyDescent="0.15">
      <c r="E43" s="4"/>
      <c r="J43" s="9">
        <v>6.6000000000000003E-2</v>
      </c>
      <c r="K43">
        <v>0.86693218811135964</v>
      </c>
      <c r="L43">
        <f t="shared" si="0"/>
        <v>7.106193094745799</v>
      </c>
      <c r="M43">
        <f t="shared" si="1"/>
        <v>7.0847419837542187</v>
      </c>
    </row>
    <row r="44" spans="5:13" x14ac:dyDescent="0.15">
      <c r="E44" s="4"/>
      <c r="J44" s="9">
        <v>6.8000000000000005E-2</v>
      </c>
      <c r="K44">
        <v>0.88114457430085125</v>
      </c>
      <c r="L44">
        <f t="shared" si="0"/>
        <v>7.1467806356962251</v>
      </c>
      <c r="M44">
        <f t="shared" si="1"/>
        <v>7.1270499798965314</v>
      </c>
    </row>
    <row r="45" spans="5:13" x14ac:dyDescent="0.15">
      <c r="J45" s="9">
        <v>6.9999999999999993E-2</v>
      </c>
      <c r="K45">
        <v>0.89543813557224361</v>
      </c>
      <c r="L45">
        <f t="shared" si="0"/>
        <v>7.1841621306498675</v>
      </c>
      <c r="M45">
        <f t="shared" si="1"/>
        <v>7.1659776906477424</v>
      </c>
    </row>
    <row r="46" spans="5:13" x14ac:dyDescent="0.15">
      <c r="J46" s="9">
        <v>7.1999999999999995E-2</v>
      </c>
      <c r="K46">
        <v>0.90980645983354336</v>
      </c>
      <c r="L46">
        <f t="shared" si="0"/>
        <v>7.2186574925741036</v>
      </c>
      <c r="M46">
        <f t="shared" si="1"/>
        <v>7.2018661849652794</v>
      </c>
    </row>
    <row r="47" spans="5:13" x14ac:dyDescent="0.15">
      <c r="J47" s="9">
        <v>7.3999999999999996E-2</v>
      </c>
      <c r="K47">
        <v>0.92424377481869158</v>
      </c>
      <c r="L47">
        <f t="shared" ref="L47:L78" si="4">(K48-K47)/(J48-J47)</f>
        <v>7.2505483070770476</v>
      </c>
      <c r="M47">
        <f t="shared" ref="M47:M79" si="5">VEGA($B$3,$B$2,$B$4,J47,$B$1)</f>
        <v>7.2350152579069427</v>
      </c>
    </row>
    <row r="48" spans="5:13" x14ac:dyDescent="0.15">
      <c r="J48" s="9">
        <v>7.5999999999999998E-2</v>
      </c>
      <c r="K48">
        <v>0.93874487143284568</v>
      </c>
      <c r="L48">
        <f t="shared" si="4"/>
        <v>7.2800831071626542</v>
      </c>
      <c r="M48">
        <f t="shared" si="5"/>
        <v>7.2656891620296697</v>
      </c>
    </row>
    <row r="49" spans="10:13" x14ac:dyDescent="0.15">
      <c r="J49" s="9">
        <v>7.8E-2</v>
      </c>
      <c r="K49">
        <v>0.95330503764717101</v>
      </c>
      <c r="L49">
        <f t="shared" si="4"/>
        <v>7.3074818388940637</v>
      </c>
      <c r="M49">
        <f t="shared" si="5"/>
        <v>7.2941214528319112</v>
      </c>
    </row>
    <row r="50" spans="10:13" x14ac:dyDescent="0.15">
      <c r="J50" s="9">
        <v>0.08</v>
      </c>
      <c r="K50">
        <v>0.96792000132495914</v>
      </c>
      <c r="L50">
        <f t="shared" si="4"/>
        <v>7.332939652890496</v>
      </c>
      <c r="M50">
        <f t="shared" si="5"/>
        <v>7.3205190969980212</v>
      </c>
    </row>
    <row r="51" spans="10:13" x14ac:dyDescent="0.15">
      <c r="J51" s="9">
        <v>8.2000000000000003E-2</v>
      </c>
      <c r="K51">
        <v>0.98258588063074015</v>
      </c>
      <c r="L51">
        <f t="shared" si="4"/>
        <v>7.3566301328771733</v>
      </c>
      <c r="M51">
        <f t="shared" si="5"/>
        <v>7.3450659656764019</v>
      </c>
    </row>
    <row r="52" spans="10:13" x14ac:dyDescent="0.15">
      <c r="J52" s="9">
        <v>8.3999999999999991E-2</v>
      </c>
      <c r="K52">
        <v>0.99729914089649441</v>
      </c>
      <c r="L52">
        <f t="shared" si="4"/>
        <v>7.3787080526157505</v>
      </c>
      <c r="M52">
        <f t="shared" si="5"/>
        <v>7.3679258133978429</v>
      </c>
    </row>
    <row r="53" spans="10:13" x14ac:dyDescent="0.15">
      <c r="J53" s="9">
        <v>8.5999999999999993E-2</v>
      </c>
      <c r="K53">
        <v>1.0120565570017259</v>
      </c>
      <c r="L53">
        <f t="shared" si="4"/>
        <v>7.399311736856256</v>
      </c>
      <c r="M53">
        <f t="shared" si="5"/>
        <v>7.3892448256097953</v>
      </c>
    </row>
    <row r="54" spans="10:13" x14ac:dyDescent="0.15">
      <c r="J54" s="9">
        <v>8.7999999999999995E-2</v>
      </c>
      <c r="K54">
        <v>1.0268551804754384</v>
      </c>
      <c r="L54">
        <f t="shared" si="4"/>
        <v>7.4185650887965631</v>
      </c>
      <c r="M54">
        <f t="shared" si="5"/>
        <v>7.4091538034164195</v>
      </c>
    </row>
    <row r="55" spans="10:13" x14ac:dyDescent="0.15">
      <c r="J55" s="9">
        <v>0.09</v>
      </c>
      <c r="K55">
        <v>1.0416923106530316</v>
      </c>
      <c r="L55">
        <f t="shared" si="4"/>
        <v>7.4365793358985792</v>
      </c>
      <c r="M55">
        <f t="shared" si="5"/>
        <v>7.4277700423605513</v>
      </c>
    </row>
    <row r="56" spans="10:13" x14ac:dyDescent="0.15">
      <c r="J56" s="9">
        <v>9.1999999999999998E-2</v>
      </c>
      <c r="K56">
        <v>1.0565654693248288</v>
      </c>
      <c r="L56">
        <f t="shared" si="4"/>
        <v>7.4534545372557597</v>
      </c>
      <c r="M56">
        <f t="shared" si="5"/>
        <v>7.4451989524639473</v>
      </c>
    </row>
    <row r="57" spans="10:13" x14ac:dyDescent="0.15">
      <c r="J57" s="9">
        <v>9.4E-2</v>
      </c>
      <c r="K57">
        <v>1.0714723783993403</v>
      </c>
      <c r="L57">
        <f t="shared" si="4"/>
        <v>7.4692808884142474</v>
      </c>
      <c r="M57">
        <f t="shared" si="5"/>
        <v>7.4615354588532004</v>
      </c>
    </row>
    <row r="58" spans="10:13" x14ac:dyDescent="0.15">
      <c r="J58" s="9">
        <v>9.6000000000000002E-2</v>
      </c>
      <c r="K58">
        <v>1.0864109401761688</v>
      </c>
      <c r="L58">
        <f t="shared" si="4"/>
        <v>7.4841398538066271</v>
      </c>
      <c r="M58">
        <f t="shared" si="5"/>
        <v>7.4768652158147821</v>
      </c>
    </row>
    <row r="59" spans="10:13" x14ac:dyDescent="0.15">
      <c r="J59" s="9">
        <v>9.799999999999999E-2</v>
      </c>
      <c r="K59">
        <v>1.101379219883782</v>
      </c>
      <c r="L59">
        <f t="shared" si="4"/>
        <v>7.498105151982231</v>
      </c>
      <c r="M59">
        <f t="shared" si="5"/>
        <v>7.4912656617811884</v>
      </c>
    </row>
    <row r="60" spans="10:13" x14ac:dyDescent="0.15">
      <c r="J60" s="9">
        <v>9.9999999999999992E-2</v>
      </c>
      <c r="K60">
        <v>1.1163754301877464</v>
      </c>
      <c r="L60">
        <f t="shared" si="4"/>
        <v>7.511243614870537</v>
      </c>
      <c r="M60">
        <f t="shared" si="5"/>
        <v>7.5048069383387581</v>
      </c>
    </row>
    <row r="61" spans="10:13" x14ac:dyDescent="0.15">
      <c r="J61" s="9">
        <v>0.10199999999999999</v>
      </c>
      <c r="K61">
        <v>1.1313979174174875</v>
      </c>
      <c r="L61">
        <f t="shared" si="4"/>
        <v>7.5236159389202513</v>
      </c>
      <c r="M61">
        <f t="shared" si="5"/>
        <v>7.5175526926956131</v>
      </c>
    </row>
    <row r="62" spans="10:13" x14ac:dyDescent="0.15">
      <c r="J62" s="9">
        <v>0.104</v>
      </c>
      <c r="K62">
        <v>1.146445149295328</v>
      </c>
      <c r="L62">
        <f t="shared" si="4"/>
        <v>7.535277343245987</v>
      </c>
      <c r="M62">
        <f t="shared" si="5"/>
        <v>7.529560780016638</v>
      </c>
    </row>
    <row r="63" spans="10:13" x14ac:dyDescent="0.15">
      <c r="J63" s="9">
        <v>0.106</v>
      </c>
      <c r="K63">
        <v>1.16151570398182</v>
      </c>
      <c r="L63">
        <f t="shared" si="4"/>
        <v>7.5462781475721314</v>
      </c>
      <c r="M63">
        <f t="shared" si="5"/>
        <v>7.5408838795097646</v>
      </c>
    </row>
    <row r="64" spans="10:13" x14ac:dyDescent="0.15">
      <c r="J64" s="9">
        <v>0.108</v>
      </c>
      <c r="K64">
        <v>1.1766082602769643</v>
      </c>
      <c r="L64">
        <f t="shared" si="4"/>
        <v>7.5566642808704216</v>
      </c>
      <c r="M64">
        <f t="shared" si="5"/>
        <v>7.5515700360430538</v>
      </c>
    </row>
    <row r="65" spans="10:13" x14ac:dyDescent="0.15">
      <c r="J65" s="9">
        <v>0.11</v>
      </c>
      <c r="K65">
        <v>1.1917215888387052</v>
      </c>
      <c r="L65">
        <f t="shared" si="4"/>
        <v>7.5664777299051451</v>
      </c>
      <c r="M65">
        <f t="shared" si="5"/>
        <v>7.5616631373115428</v>
      </c>
    </row>
    <row r="66" spans="10:13" x14ac:dyDescent="0.15">
      <c r="J66" s="9">
        <v>0.112</v>
      </c>
      <c r="K66">
        <v>1.2068545442985155</v>
      </c>
      <c r="L66">
        <f t="shared" si="4"/>
        <v>7.5757569356191752</v>
      </c>
      <c r="M66">
        <f t="shared" si="5"/>
        <v>7.5712033350965156</v>
      </c>
    </row>
    <row r="67" spans="10:13" x14ac:dyDescent="0.15">
      <c r="J67" s="9">
        <v>0.114</v>
      </c>
      <c r="K67">
        <v>1.2220060581697538</v>
      </c>
      <c r="L67">
        <f t="shared" si="4"/>
        <v>7.5845371441483529</v>
      </c>
      <c r="M67">
        <f t="shared" si="5"/>
        <v>7.5802274179186391</v>
      </c>
    </row>
    <row r="68" spans="10:13" x14ac:dyDescent="0.15">
      <c r="J68" s="9">
        <v>0.11599999999999999</v>
      </c>
      <c r="K68">
        <v>1.2371751324580504</v>
      </c>
      <c r="L68">
        <f t="shared" si="4"/>
        <v>7.5928507182103573</v>
      </c>
      <c r="M68">
        <f t="shared" si="5"/>
        <v>7.5887691413403937</v>
      </c>
    </row>
    <row r="69" spans="10:13" x14ac:dyDescent="0.15">
      <c r="J69" s="9">
        <v>0.11799999999999999</v>
      </c>
      <c r="K69">
        <v>1.2523608338944712</v>
      </c>
      <c r="L69">
        <f t="shared" si="4"/>
        <v>7.600727413887391</v>
      </c>
      <c r="M69">
        <f t="shared" si="5"/>
        <v>7.5968595212894909</v>
      </c>
    </row>
    <row r="70" spans="10:13" x14ac:dyDescent="0.15">
      <c r="J70" s="9">
        <v>0.12</v>
      </c>
      <c r="K70">
        <v>1.267562288722246</v>
      </c>
      <c r="L70">
        <f t="shared" si="4"/>
        <v>7.6081946271129226</v>
      </c>
      <c r="M70">
        <f t="shared" si="5"/>
        <v>7.6045270950264987</v>
      </c>
    </row>
    <row r="71" spans="10:13" x14ac:dyDescent="0.15">
      <c r="J71" s="9">
        <v>0.122</v>
      </c>
      <c r="K71">
        <v>1.2827786779764718</v>
      </c>
      <c r="L71">
        <f t="shared" si="4"/>
        <v>7.6152776135316387</v>
      </c>
      <c r="M71">
        <f t="shared" si="5"/>
        <v>7.6117981537446147</v>
      </c>
    </row>
    <row r="72" spans="10:13" x14ac:dyDescent="0.15">
      <c r="J72" s="9">
        <v>0.124</v>
      </c>
      <c r="K72">
        <v>1.2980092332035351</v>
      </c>
      <c r="L72">
        <f t="shared" si="4"/>
        <v>7.6219996849964318</v>
      </c>
      <c r="M72">
        <f t="shared" si="5"/>
        <v>7.6186969502489177</v>
      </c>
    </row>
    <row r="73" spans="10:13" x14ac:dyDescent="0.15">
      <c r="J73" s="9">
        <v>0.126</v>
      </c>
      <c r="K73">
        <v>1.313253232573528</v>
      </c>
      <c r="L73">
        <f t="shared" si="4"/>
        <v>7.6283823854206219</v>
      </c>
      <c r="M73">
        <f t="shared" si="5"/>
        <v>7.6252458847014282</v>
      </c>
    </row>
    <row r="74" spans="10:13" x14ac:dyDescent="0.15">
      <c r="J74" s="9">
        <v>0.128</v>
      </c>
      <c r="K74">
        <v>1.3285099973443693</v>
      </c>
      <c r="L74">
        <f t="shared" si="4"/>
        <v>7.6344456484855812</v>
      </c>
      <c r="M74">
        <f t="shared" si="5"/>
        <v>7.6314656710243387</v>
      </c>
    </row>
    <row r="75" spans="10:13" x14ac:dyDescent="0.15">
      <c r="J75" s="9">
        <v>0.13</v>
      </c>
      <c r="K75">
        <v>1.3437788886413404</v>
      </c>
      <c r="L75">
        <f t="shared" si="4"/>
        <v>7.6402079392208151</v>
      </c>
      <c r="M75">
        <f t="shared" si="5"/>
        <v>7.6373754862162269</v>
      </c>
    </row>
    <row r="76" spans="10:13" x14ac:dyDescent="0.15">
      <c r="J76" s="9">
        <v>0.13200000000000001</v>
      </c>
      <c r="K76">
        <v>1.3590593045197821</v>
      </c>
      <c r="L76">
        <f t="shared" si="4"/>
        <v>7.645686381380294</v>
      </c>
      <c r="M76">
        <f t="shared" si="5"/>
        <v>7.6429931045464414</v>
      </c>
    </row>
    <row r="77" spans="10:13" x14ac:dyDescent="0.15">
      <c r="J77" s="9">
        <v>0.13400000000000001</v>
      </c>
      <c r="K77">
        <v>1.3743506772825427</v>
      </c>
      <c r="L77">
        <f t="shared" si="4"/>
        <v>7.6508968721498078</v>
      </c>
      <c r="M77">
        <f t="shared" si="5"/>
        <v>7.648335018343583</v>
      </c>
    </row>
    <row r="78" spans="10:13" x14ac:dyDescent="0.15">
      <c r="J78" s="9">
        <v>0.13600000000000001</v>
      </c>
      <c r="K78">
        <v>1.3896524710268423</v>
      </c>
      <c r="L78">
        <f t="shared" si="4"/>
        <v>7.655854185633963</v>
      </c>
      <c r="M78">
        <f t="shared" si="5"/>
        <v>7.6534165468793161</v>
      </c>
    </row>
    <row r="79" spans="10:13" x14ac:dyDescent="0.15">
      <c r="J79" s="9">
        <v>0.13800000000000001</v>
      </c>
      <c r="K79">
        <v>1.4049641793981102</v>
      </c>
      <c r="L79">
        <f t="shared" ref="L79:L110" si="6">(K80-K79)/(J80-J79)</f>
        <v>7.6605720663609418</v>
      </c>
      <c r="M79">
        <f t="shared" si="5"/>
        <v>7.6582519346631521</v>
      </c>
    </row>
    <row r="80" spans="10:13" x14ac:dyDescent="0.15">
      <c r="J80" s="9">
        <v>0.14000000000000001</v>
      </c>
      <c r="K80">
        <v>1.4202853235308321</v>
      </c>
      <c r="L80">
        <f t="shared" si="6"/>
        <v>7.6650633138237652</v>
      </c>
      <c r="M80">
        <f t="shared" ref="M80:M143" si="7">VEGA($B$3,$B$2,$B$4,J80,$B$1)</f>
        <v>7.662854440303418</v>
      </c>
    </row>
    <row r="81" spans="10:13" x14ac:dyDescent="0.15">
      <c r="J81" s="9">
        <v>0.14200000000000002</v>
      </c>
      <c r="K81">
        <v>1.4356154501584797</v>
      </c>
      <c r="L81">
        <f t="shared" si="6"/>
        <v>7.6693398591247615</v>
      </c>
      <c r="M81">
        <f t="shared" si="7"/>
        <v>7.6672364169504004</v>
      </c>
    </row>
    <row r="82" spans="10:13" x14ac:dyDescent="0.15">
      <c r="J82" s="9">
        <v>0.14400000000000002</v>
      </c>
      <c r="K82">
        <v>1.4509541298767292</v>
      </c>
      <c r="L82">
        <f t="shared" si="6"/>
        <v>7.6734128344435533</v>
      </c>
      <c r="M82">
        <f t="shared" si="7"/>
        <v>7.6714093852167933</v>
      </c>
    </row>
    <row r="83" spans="10:13" x14ac:dyDescent="0.15">
      <c r="J83" s="9">
        <v>0.14600000000000002</v>
      </c>
      <c r="K83">
        <v>1.4663009555456163</v>
      </c>
      <c r="L83">
        <f t="shared" si="6"/>
        <v>7.6772926361678913</v>
      </c>
      <c r="M83">
        <f t="shared" si="7"/>
        <v>7.6753840993654121</v>
      </c>
    </row>
    <row r="84" spans="10:13" x14ac:dyDescent="0.15">
      <c r="J84" s="9">
        <v>0.14800000000000002</v>
      </c>
      <c r="K84">
        <v>1.4816555408179521</v>
      </c>
      <c r="L84">
        <f t="shared" si="6"/>
        <v>7.6809889822859674</v>
      </c>
      <c r="M84">
        <f t="shared" si="7"/>
        <v>7.6791706074623987</v>
      </c>
    </row>
    <row r="85" spans="10:13" x14ac:dyDescent="0.15">
      <c r="J85" s="9">
        <v>0.15000000000000002</v>
      </c>
      <c r="K85">
        <v>1.4970175187825241</v>
      </c>
      <c r="L85">
        <f t="shared" si="6"/>
        <v>7.6845109646397276</v>
      </c>
      <c r="M85">
        <f t="shared" si="7"/>
        <v>7.6827783061140948</v>
      </c>
    </row>
    <row r="86" spans="10:13" x14ac:dyDescent="0.15">
      <c r="J86" s="9">
        <v>0.15200000000000002</v>
      </c>
      <c r="K86">
        <v>1.5123865407118036</v>
      </c>
      <c r="L86">
        <f t="shared" si="6"/>
        <v>7.6878670965720914</v>
      </c>
      <c r="M86">
        <f t="shared" si="7"/>
        <v>7.6862159903357243</v>
      </c>
    </row>
    <row r="87" spans="10:13" x14ac:dyDescent="0.15">
      <c r="J87" s="9">
        <v>0.15400000000000003</v>
      </c>
      <c r="K87">
        <v>1.5277622749049478</v>
      </c>
      <c r="L87">
        <f t="shared" si="6"/>
        <v>7.6910653564060567</v>
      </c>
      <c r="M87">
        <f t="shared" si="7"/>
        <v>7.6894918990386003</v>
      </c>
    </row>
    <row r="88" spans="10:13" x14ac:dyDescent="0.15">
      <c r="J88" s="9">
        <v>0.156</v>
      </c>
      <c r="K88">
        <v>1.5431444056177597</v>
      </c>
      <c r="L88">
        <f t="shared" si="6"/>
        <v>7.6941132271643937</v>
      </c>
      <c r="M88">
        <f t="shared" si="7"/>
        <v>7.6926137565688011</v>
      </c>
    </row>
    <row r="89" spans="10:13" x14ac:dyDescent="0.15">
      <c r="J89" s="9">
        <v>0.158</v>
      </c>
      <c r="K89">
        <v>1.5585326320720885</v>
      </c>
      <c r="L89">
        <f t="shared" si="6"/>
        <v>7.6970177329211893</v>
      </c>
      <c r="M89">
        <f t="shared" si="7"/>
        <v>7.6955888106827874</v>
      </c>
    </row>
    <row r="90" spans="10:13" x14ac:dyDescent="0.15">
      <c r="J90" s="9">
        <v>0.16</v>
      </c>
      <c r="K90">
        <v>1.5739266675379309</v>
      </c>
      <c r="L90">
        <f t="shared" si="6"/>
        <v>7.6997854720612864</v>
      </c>
      <c r="M90">
        <f t="shared" si="7"/>
        <v>7.6984238673038705</v>
      </c>
    </row>
    <row r="91" spans="10:13" x14ac:dyDescent="0.15">
      <c r="J91" s="9">
        <v>0.16200000000000001</v>
      </c>
      <c r="K91">
        <v>1.5893262384820535</v>
      </c>
      <c r="L91">
        <f t="shared" si="6"/>
        <v>7.7024226478004039</v>
      </c>
      <c r="M91">
        <f t="shared" si="7"/>
        <v>7.7011253223665985</v>
      </c>
    </row>
    <row r="92" spans="10:13" x14ac:dyDescent="0.15">
      <c r="J92" s="9">
        <v>0.16400000000000001</v>
      </c>
      <c r="K92">
        <v>1.6047310837776543</v>
      </c>
      <c r="L92">
        <f t="shared" si="6"/>
        <v>7.7049350961644265</v>
      </c>
      <c r="M92">
        <f t="shared" si="7"/>
        <v>7.7036991910237216</v>
      </c>
    </row>
    <row r="93" spans="10:13" x14ac:dyDescent="0.15">
      <c r="J93" s="9">
        <v>0.16600000000000001</v>
      </c>
      <c r="K93">
        <v>1.6201409539699831</v>
      </c>
      <c r="L93">
        <f t="shared" si="6"/>
        <v>7.707328311711052</v>
      </c>
      <c r="M93">
        <f t="shared" si="7"/>
        <v>7.7061511344616491</v>
      </c>
    </row>
    <row r="94" spans="10:13" x14ac:dyDescent="0.15">
      <c r="J94" s="9">
        <v>0.16800000000000001</v>
      </c>
      <c r="K94">
        <v>1.6355556105934053</v>
      </c>
      <c r="L94">
        <f t="shared" si="6"/>
        <v>7.7096074711713243</v>
      </c>
      <c r="M94">
        <f t="shared" si="7"/>
        <v>7.7084864845449452</v>
      </c>
    </row>
    <row r="95" spans="10:13" x14ac:dyDescent="0.15">
      <c r="J95" s="9">
        <v>0.17</v>
      </c>
      <c r="K95">
        <v>1.6509748255357479</v>
      </c>
      <c r="L95">
        <f t="shared" si="6"/>
        <v>7.71177745519757</v>
      </c>
      <c r="M95">
        <f t="shared" si="7"/>
        <v>7.7107102664878173</v>
      </c>
    </row>
    <row r="96" spans="10:13" x14ac:dyDescent="0.15">
      <c r="J96" s="9">
        <v>0.17200000000000001</v>
      </c>
      <c r="K96">
        <v>1.6663983804461431</v>
      </c>
      <c r="L96">
        <f t="shared" si="6"/>
        <v>7.7138428684282374</v>
      </c>
      <c r="M96">
        <f t="shared" si="7"/>
        <v>7.7128272197305687</v>
      </c>
    </row>
    <row r="97" spans="10:13" x14ac:dyDescent="0.15">
      <c r="J97" s="9">
        <v>0.17400000000000002</v>
      </c>
      <c r="K97">
        <v>1.6818260661829996</v>
      </c>
      <c r="L97">
        <f t="shared" si="6"/>
        <v>7.7158080579602313</v>
      </c>
      <c r="M97">
        <f t="shared" si="7"/>
        <v>7.7148418171811439</v>
      </c>
    </row>
    <row r="98" spans="10:13" x14ac:dyDescent="0.15">
      <c r="J98" s="9">
        <v>0.17600000000000002</v>
      </c>
      <c r="K98">
        <v>1.69725768229892</v>
      </c>
      <c r="L98">
        <f t="shared" si="6"/>
        <v>7.7176771304072673</v>
      </c>
      <c r="M98">
        <f t="shared" si="7"/>
        <v>7.7167582829661008</v>
      </c>
    </row>
    <row r="99" spans="10:13" x14ac:dyDescent="0.15">
      <c r="J99" s="9">
        <v>0.17800000000000002</v>
      </c>
      <c r="K99">
        <v>1.7126930365597346</v>
      </c>
      <c r="L99">
        <f t="shared" si="6"/>
        <v>7.719453967678362</v>
      </c>
      <c r="M99">
        <f t="shared" si="7"/>
        <v>7.7185806088211484</v>
      </c>
    </row>
    <row r="100" spans="10:13" x14ac:dyDescent="0.15">
      <c r="J100" s="9">
        <v>0.18000000000000002</v>
      </c>
      <c r="K100">
        <v>1.7281319444950913</v>
      </c>
      <c r="L100">
        <f t="shared" si="6"/>
        <v>7.7211422415217541</v>
      </c>
      <c r="M100">
        <f t="shared" si="7"/>
        <v>7.7203125692388275</v>
      </c>
    </row>
    <row r="101" spans="10:13" x14ac:dyDescent="0.15">
      <c r="J101" s="9">
        <v>0.18200000000000002</v>
      </c>
      <c r="K101">
        <v>1.7435742289781349</v>
      </c>
      <c r="L101">
        <f t="shared" si="6"/>
        <v>7.7227454270234404</v>
      </c>
      <c r="M101">
        <f t="shared" si="7"/>
        <v>7.7219577354795934</v>
      </c>
    </row>
    <row r="102" spans="10:13" x14ac:dyDescent="0.15">
      <c r="J102" s="9">
        <v>0.18400000000000002</v>
      </c>
      <c r="K102">
        <v>1.7590197198321817</v>
      </c>
      <c r="L102">
        <f t="shared" si="6"/>
        <v>7.7242668151092824</v>
      </c>
      <c r="M102">
        <f t="shared" si="7"/>
        <v>7.7235194885425127</v>
      </c>
    </row>
    <row r="103" spans="10:13" x14ac:dyDescent="0.15">
      <c r="J103" s="9">
        <v>0.186</v>
      </c>
      <c r="K103">
        <v>1.7744682534624001</v>
      </c>
      <c r="L103">
        <f t="shared" si="6"/>
        <v>7.7257095240765778</v>
      </c>
      <c r="M103">
        <f t="shared" si="7"/>
        <v>7.7250010311827015</v>
      </c>
    </row>
    <row r="104" spans="10:13" x14ac:dyDescent="0.15">
      <c r="J104" s="9">
        <v>0.188</v>
      </c>
      <c r="K104">
        <v>1.7899196725105533</v>
      </c>
      <c r="L104">
        <f t="shared" si="6"/>
        <v>7.7270765103749568</v>
      </c>
      <c r="M104">
        <f t="shared" si="7"/>
        <v>7.7264053990545634</v>
      </c>
    </row>
    <row r="105" spans="10:13" x14ac:dyDescent="0.15">
      <c r="J105" s="9">
        <v>0.19</v>
      </c>
      <c r="K105">
        <v>1.8053738255313032</v>
      </c>
      <c r="L105">
        <f t="shared" si="6"/>
        <v>7.7283705785520169</v>
      </c>
      <c r="M105">
        <f t="shared" si="7"/>
        <v>7.7277354710525845</v>
      </c>
    </row>
    <row r="106" spans="10:13" x14ac:dyDescent="0.15">
      <c r="J106" s="9">
        <v>0.192</v>
      </c>
      <c r="K106">
        <v>1.8208305666884073</v>
      </c>
      <c r="L106">
        <f t="shared" si="6"/>
        <v>7.7295943905113447</v>
      </c>
      <c r="M106">
        <f t="shared" si="7"/>
        <v>7.7289939789149091</v>
      </c>
    </row>
    <row r="107" spans="10:13" x14ac:dyDescent="0.15">
      <c r="J107" s="9">
        <v>0.19400000000000001</v>
      </c>
      <c r="K107">
        <v>1.83628975546943</v>
      </c>
      <c r="L107">
        <f t="shared" si="6"/>
        <v>7.7307504741268502</v>
      </c>
      <c r="M107">
        <f t="shared" si="7"/>
        <v>7.7301835161490047</v>
      </c>
    </row>
    <row r="108" spans="10:13" x14ac:dyDescent="0.15">
      <c r="J108" s="9">
        <v>0.19600000000000001</v>
      </c>
      <c r="K108">
        <v>1.8517512564176837</v>
      </c>
      <c r="L108">
        <f t="shared" si="6"/>
        <v>7.7318412312585778</v>
      </c>
      <c r="M108">
        <f t="shared" si="7"/>
        <v>7.7313065463334816</v>
      </c>
    </row>
    <row r="109" spans="10:13" x14ac:dyDescent="0.15">
      <c r="J109" s="9">
        <v>0.19800000000000001</v>
      </c>
      <c r="K109">
        <v>1.8672149388802008</v>
      </c>
      <c r="L109">
        <f t="shared" si="6"/>
        <v>7.7328689452009698</v>
      </c>
      <c r="M109">
        <f t="shared" si="7"/>
        <v>7.7323654108452509</v>
      </c>
    </row>
    <row r="110" spans="10:13" x14ac:dyDescent="0.15">
      <c r="J110" s="9">
        <v>0.2</v>
      </c>
      <c r="K110">
        <v>1.8826806767706028</v>
      </c>
      <c r="L110">
        <f t="shared" si="6"/>
        <v>7.7338357876399684</v>
      </c>
      <c r="M110">
        <f t="shared" si="7"/>
        <v>7.7333623360569845</v>
      </c>
    </row>
    <row r="111" spans="10:13" x14ac:dyDescent="0.15">
      <c r="J111" s="9">
        <v>0.20200000000000001</v>
      </c>
      <c r="K111">
        <v>1.8981483483458828</v>
      </c>
      <c r="L111">
        <f t="shared" ref="L111:L142" si="8">(K112-K111)/(J112-J111)</f>
        <v>7.734743825126948</v>
      </c>
      <c r="M111">
        <f t="shared" si="7"/>
        <v>7.7342994400458647</v>
      </c>
    </row>
    <row r="112" spans="10:13" x14ac:dyDescent="0.15">
      <c r="J112" s="9">
        <v>0.20400000000000001</v>
      </c>
      <c r="K112">
        <v>1.9136178359961367</v>
      </c>
      <c r="L112">
        <f t="shared" si="8"/>
        <v>7.7355950251352041</v>
      </c>
      <c r="M112">
        <f t="shared" si="7"/>
        <v>7.7351787388511202</v>
      </c>
    </row>
    <row r="113" spans="10:13" x14ac:dyDescent="0.15">
      <c r="J113" s="9">
        <v>0.20600000000000002</v>
      </c>
      <c r="K113">
        <v>1.9290890260464071</v>
      </c>
      <c r="L113">
        <f t="shared" si="8"/>
        <v>7.7363912616972215</v>
      </c>
      <c r="M113">
        <f t="shared" si="7"/>
        <v>7.7360021523146312</v>
      </c>
    </row>
    <row r="114" spans="10:13" x14ac:dyDescent="0.15">
      <c r="J114" s="9">
        <v>0.20800000000000002</v>
      </c>
      <c r="K114">
        <v>1.9445618085698015</v>
      </c>
      <c r="L114">
        <f t="shared" si="8"/>
        <v>7.7371343206786776</v>
      </c>
      <c r="M114">
        <f t="shared" si="7"/>
        <v>7.7367715095359868</v>
      </c>
    </row>
    <row r="115" spans="10:13" x14ac:dyDescent="0.15">
      <c r="J115" s="9">
        <v>0.21000000000000002</v>
      </c>
      <c r="K115">
        <v>1.9600360772111589</v>
      </c>
      <c r="L115">
        <f t="shared" si="8"/>
        <v>7.7378259047096094</v>
      </c>
      <c r="M115">
        <f t="shared" si="7"/>
        <v>7.7374885539707607</v>
      </c>
    </row>
    <row r="116" spans="10:13" x14ac:dyDescent="0.15">
      <c r="J116" s="9">
        <v>0.21200000000000002</v>
      </c>
      <c r="K116">
        <v>1.9755117290205781</v>
      </c>
      <c r="L116">
        <f t="shared" si="8"/>
        <v>7.7384676378082702</v>
      </c>
      <c r="M116">
        <f t="shared" si="7"/>
        <v>7.7381549481983818</v>
      </c>
    </row>
    <row r="117" spans="10:13" x14ac:dyDescent="0.15">
      <c r="J117" s="9">
        <v>0.21400000000000002</v>
      </c>
      <c r="K117">
        <v>1.9909886642961947</v>
      </c>
      <c r="L117">
        <f t="shared" si="8"/>
        <v>7.7390610696790247</v>
      </c>
      <c r="M117">
        <f t="shared" si="7"/>
        <v>7.7387722783837951</v>
      </c>
    </row>
    <row r="118" spans="10:13" x14ac:dyDescent="0.15">
      <c r="J118" s="9">
        <v>0.21600000000000003</v>
      </c>
      <c r="K118">
        <v>2.0064667864355528</v>
      </c>
      <c r="L118">
        <f t="shared" si="8"/>
        <v>7.7396076797802067</v>
      </c>
      <c r="M118">
        <f t="shared" si="7"/>
        <v>7.7393420584551507</v>
      </c>
    </row>
    <row r="119" spans="10:13" x14ac:dyDescent="0.15">
      <c r="J119" s="9">
        <v>0.21800000000000003</v>
      </c>
      <c r="K119">
        <v>2.0219460017951132</v>
      </c>
      <c r="L119">
        <f t="shared" si="8"/>
        <v>7.7401088810838852</v>
      </c>
      <c r="M119">
        <f t="shared" si="7"/>
        <v>7.7398657340179486</v>
      </c>
    </row>
    <row r="120" spans="10:13" x14ac:dyDescent="0.15">
      <c r="J120" s="9">
        <v>0.22</v>
      </c>
      <c r="K120">
        <v>2.0374262195572808</v>
      </c>
      <c r="L120">
        <f t="shared" si="8"/>
        <v>7.7405660236688973</v>
      </c>
      <c r="M120">
        <f t="shared" si="7"/>
        <v>7.7403446860244438</v>
      </c>
    </row>
    <row r="121" spans="10:13" x14ac:dyDescent="0.15">
      <c r="J121" s="9">
        <v>0.222</v>
      </c>
      <c r="K121">
        <v>2.0529073516046186</v>
      </c>
      <c r="L121">
        <f t="shared" si="8"/>
        <v>7.7409803980215059</v>
      </c>
      <c r="M121">
        <f t="shared" si="7"/>
        <v>7.7407802342156273</v>
      </c>
    </row>
    <row r="122" spans="10:13" x14ac:dyDescent="0.15">
      <c r="J122" s="9">
        <v>0.224</v>
      </c>
      <c r="K122">
        <v>2.0683893124006616</v>
      </c>
      <c r="L122">
        <f t="shared" si="8"/>
        <v>7.7413532381793644</v>
      </c>
      <c r="M122">
        <f t="shared" si="7"/>
        <v>7.741173640351688</v>
      </c>
    </row>
    <row r="123" spans="10:13" x14ac:dyDescent="0.15">
      <c r="J123" s="9">
        <v>0.22600000000000001</v>
      </c>
      <c r="K123">
        <v>2.0838720188770203</v>
      </c>
      <c r="L123">
        <f t="shared" si="8"/>
        <v>7.7416857246852473</v>
      </c>
      <c r="M123">
        <f t="shared" si="7"/>
        <v>7.7415261112457152</v>
      </c>
    </row>
    <row r="124" spans="10:13" x14ac:dyDescent="0.15">
      <c r="J124" s="9">
        <v>0.22800000000000001</v>
      </c>
      <c r="K124">
        <v>2.0993553903263908</v>
      </c>
      <c r="L124">
        <f t="shared" si="8"/>
        <v>7.7419789873216445</v>
      </c>
      <c r="M124">
        <f t="shared" si="7"/>
        <v>7.7418388016141391</v>
      </c>
    </row>
    <row r="125" spans="10:13" x14ac:dyDescent="0.15">
      <c r="J125" s="9">
        <v>0.23</v>
      </c>
      <c r="K125">
        <v>2.1148393483010341</v>
      </c>
      <c r="L125">
        <f t="shared" si="8"/>
        <v>7.742234107745098</v>
      </c>
      <c r="M125">
        <f t="shared" si="7"/>
        <v>7.7421128167564746</v>
      </c>
    </row>
    <row r="126" spans="10:13" x14ac:dyDescent="0.15">
      <c r="J126" s="9">
        <v>0.23200000000000001</v>
      </c>
      <c r="K126">
        <v>2.1303238165165244</v>
      </c>
      <c r="L126">
        <f t="shared" si="8"/>
        <v>7.7424521218958304</v>
      </c>
      <c r="M126">
        <f t="shared" si="7"/>
        <v>7.7423492150759188</v>
      </c>
    </row>
    <row r="127" spans="10:13" x14ac:dyDescent="0.15">
      <c r="J127" s="9">
        <v>0.23400000000000001</v>
      </c>
      <c r="K127">
        <v>2.145808720760316</v>
      </c>
      <c r="L127">
        <f t="shared" si="8"/>
        <v>7.742634022334542</v>
      </c>
      <c r="M127">
        <f t="shared" si="7"/>
        <v>7.7425490104515005</v>
      </c>
    </row>
    <row r="128" spans="10:13" x14ac:dyDescent="0.15">
      <c r="J128" s="9">
        <v>0.23600000000000002</v>
      </c>
      <c r="K128">
        <v>2.1612939888049851</v>
      </c>
      <c r="L128">
        <f t="shared" si="8"/>
        <v>7.7427807603820327</v>
      </c>
      <c r="M128">
        <f t="shared" si="7"/>
        <v>7.7427131744716657</v>
      </c>
    </row>
    <row r="129" spans="10:13" x14ac:dyDescent="0.15">
      <c r="J129" s="9">
        <v>0.23800000000000002</v>
      </c>
      <c r="K129">
        <v>2.1767795503257492</v>
      </c>
      <c r="L129">
        <f t="shared" si="8"/>
        <v>7.7428932481815522</v>
      </c>
      <c r="M129">
        <f t="shared" si="7"/>
        <v>7.7428426385384821</v>
      </c>
    </row>
    <row r="130" spans="10:13" x14ac:dyDescent="0.15">
      <c r="J130" s="9">
        <v>0.24000000000000002</v>
      </c>
      <c r="K130">
        <v>2.1922653368221123</v>
      </c>
      <c r="L130">
        <f t="shared" si="8"/>
        <v>7.742972360608384</v>
      </c>
      <c r="M130">
        <f t="shared" si="7"/>
        <v>7.7429382958509212</v>
      </c>
    </row>
    <row r="131" spans="10:13" x14ac:dyDescent="0.15">
      <c r="J131" s="9">
        <v>0.24200000000000002</v>
      </c>
      <c r="K131">
        <v>2.2077512815433291</v>
      </c>
      <c r="L131">
        <f t="shared" si="8"/>
        <v>7.7430189371092624</v>
      </c>
      <c r="M131">
        <f t="shared" si="7"/>
        <v>7.7430010032750918</v>
      </c>
    </row>
    <row r="132" spans="10:13" x14ac:dyDescent="0.15">
      <c r="J132" s="9">
        <v>0.24400000000000002</v>
      </c>
      <c r="K132">
        <v>2.2232373194175477</v>
      </c>
      <c r="L132">
        <f t="shared" si="8"/>
        <v>7.7430337833907998</v>
      </c>
      <c r="M132">
        <f t="shared" si="7"/>
        <v>7.7430315831087348</v>
      </c>
    </row>
    <row r="133" spans="10:13" x14ac:dyDescent="0.15">
      <c r="J133" s="9">
        <v>0.24600000000000002</v>
      </c>
      <c r="K133">
        <v>2.2387233869843293</v>
      </c>
      <c r="L133">
        <f t="shared" si="8"/>
        <v>7.7430176730572882</v>
      </c>
      <c r="M133">
        <f t="shared" si="7"/>
        <v>7.7430308247467234</v>
      </c>
    </row>
    <row r="134" spans="10:13" x14ac:dyDescent="0.15">
      <c r="J134" s="9">
        <v>0.24800000000000003</v>
      </c>
      <c r="K134">
        <v>2.2542094223304439</v>
      </c>
      <c r="L134">
        <f t="shared" si="8"/>
        <v>7.7429713491313672</v>
      </c>
      <c r="M134">
        <f t="shared" si="7"/>
        <v>7.7429994862538791</v>
      </c>
    </row>
    <row r="135" spans="10:13" x14ac:dyDescent="0.15">
      <c r="J135" s="9">
        <v>0.25</v>
      </c>
      <c r="K135">
        <v>2.2696953650287064</v>
      </c>
      <c r="L135">
        <f t="shared" si="8"/>
        <v>7.7428955254950012</v>
      </c>
      <c r="M135">
        <f t="shared" si="7"/>
        <v>7.7429382958509212</v>
      </c>
    </row>
    <row r="136" spans="10:13" x14ac:dyDescent="0.15">
      <c r="J136" s="9">
        <v>0.252</v>
      </c>
      <c r="K136">
        <v>2.2851811560796964</v>
      </c>
      <c r="L136">
        <f t="shared" si="8"/>
        <v>7.7427908882752234</v>
      </c>
      <c r="M136">
        <f t="shared" si="7"/>
        <v>7.7428479533190107</v>
      </c>
    </row>
    <row r="137" spans="10:13" x14ac:dyDescent="0.15">
      <c r="J137" s="9">
        <v>0.254</v>
      </c>
      <c r="K137">
        <v>2.3006667378562469</v>
      </c>
      <c r="L137">
        <f t="shared" si="8"/>
        <v>7.7426580971060517</v>
      </c>
      <c r="M137">
        <f t="shared" si="7"/>
        <v>7.7427291313279198</v>
      </c>
    </row>
    <row r="138" spans="10:13" x14ac:dyDescent="0.15">
      <c r="J138" s="9">
        <v>0.25600000000000001</v>
      </c>
      <c r="K138">
        <v>2.316152054050459</v>
      </c>
      <c r="L138">
        <f t="shared" si="8"/>
        <v>7.7424977863769158</v>
      </c>
      <c r="M138">
        <f t="shared" si="7"/>
        <v>7.7425824766925286</v>
      </c>
    </row>
    <row r="139" spans="10:13" x14ac:dyDescent="0.15">
      <c r="J139" s="9">
        <v>0.25800000000000001</v>
      </c>
      <c r="K139">
        <v>2.3316370496232128</v>
      </c>
      <c r="L139">
        <f t="shared" si="8"/>
        <v>7.7423105663694187</v>
      </c>
      <c r="M139">
        <f t="shared" si="7"/>
        <v>7.7424086115620483</v>
      </c>
    </row>
    <row r="140" spans="10:13" x14ac:dyDescent="0.15">
      <c r="J140" s="9">
        <v>0.26</v>
      </c>
      <c r="K140">
        <v>2.3471216707559517</v>
      </c>
      <c r="L140">
        <f t="shared" si="8"/>
        <v>7.7420970243764415</v>
      </c>
      <c r="M140">
        <f t="shared" si="7"/>
        <v>7.7422081345460345</v>
      </c>
    </row>
    <row r="141" spans="10:13" x14ac:dyDescent="0.15">
      <c r="J141" s="9">
        <v>0.26200000000000001</v>
      </c>
      <c r="K141">
        <v>2.3626058648047046</v>
      </c>
      <c r="L141">
        <f t="shared" si="8"/>
        <v>7.741857725721772</v>
      </c>
      <c r="M141">
        <f t="shared" si="7"/>
        <v>7.7419816217810027</v>
      </c>
    </row>
    <row r="142" spans="10:13" x14ac:dyDescent="0.15">
      <c r="J142" s="9">
        <v>0.26400000000000001</v>
      </c>
      <c r="K142">
        <v>2.3780895802561481</v>
      </c>
      <c r="L142">
        <f t="shared" si="8"/>
        <v>7.7415932147450945</v>
      </c>
      <c r="M142">
        <f t="shared" si="7"/>
        <v>7.7417296279411998</v>
      </c>
    </row>
    <row r="143" spans="10:13" x14ac:dyDescent="0.15">
      <c r="J143" s="9">
        <v>0.26600000000000001</v>
      </c>
      <c r="K143">
        <v>2.3935727666856383</v>
      </c>
      <c r="L143">
        <f t="shared" ref="L143:L160" si="9">(K144-K143)/(J144-J143)</f>
        <v>7.7413040157470121</v>
      </c>
      <c r="M143">
        <f t="shared" si="7"/>
        <v>7.741452687196837</v>
      </c>
    </row>
    <row r="144" spans="10:13" x14ac:dyDescent="0.15">
      <c r="J144" s="9">
        <v>0.26800000000000002</v>
      </c>
      <c r="K144">
        <v>2.4090553747171324</v>
      </c>
      <c r="L144">
        <f t="shared" si="9"/>
        <v>7.7409906338683427</v>
      </c>
      <c r="M144">
        <f t="shared" ref="M144:M160" si="10">VEGA($B$3,$B$2,$B$4,J144,$B$1)</f>
        <v>7.7411513141228836</v>
      </c>
    </row>
    <row r="145" spans="10:13" x14ac:dyDescent="0.15">
      <c r="J145" s="9">
        <v>0.27</v>
      </c>
      <c r="K145">
        <v>2.4245373559848691</v>
      </c>
      <c r="L145">
        <f t="shared" si="9"/>
        <v>7.740653555923231</v>
      </c>
      <c r="M145">
        <f t="shared" si="10"/>
        <v>7.7408260045613133</v>
      </c>
    </row>
    <row r="146" spans="10:13" x14ac:dyDescent="0.15">
      <c r="J146" s="9">
        <v>0.27200000000000002</v>
      </c>
      <c r="K146">
        <v>2.4400186630967156</v>
      </c>
      <c r="L146">
        <f t="shared" si="9"/>
        <v>7.7402932512136076</v>
      </c>
      <c r="M146">
        <f t="shared" si="10"/>
        <v>7.7404772364394958</v>
      </c>
    </row>
    <row r="147" spans="10:13" x14ac:dyDescent="0.15">
      <c r="J147" s="9">
        <v>0.27400000000000002</v>
      </c>
      <c r="K147">
        <v>2.4554992495991428</v>
      </c>
      <c r="L147">
        <f t="shared" si="9"/>
        <v>7.7399101722628245</v>
      </c>
      <c r="M147">
        <f t="shared" si="10"/>
        <v>7.7401054705472809</v>
      </c>
    </row>
    <row r="148" spans="10:13" x14ac:dyDescent="0.15">
      <c r="J148" s="9">
        <v>0.27600000000000002</v>
      </c>
      <c r="K148">
        <v>2.4709790699436684</v>
      </c>
      <c r="L148">
        <f t="shared" si="9"/>
        <v>7.739504755559949</v>
      </c>
      <c r="M148">
        <f t="shared" si="10"/>
        <v>7.7397111512751113</v>
      </c>
    </row>
    <row r="149" spans="10:13" x14ac:dyDescent="0.15">
      <c r="J149" s="9">
        <v>0.27800000000000002</v>
      </c>
      <c r="K149">
        <v>2.4864580794547884</v>
      </c>
      <c r="L149">
        <f t="shared" si="9"/>
        <v>7.7390774222223442</v>
      </c>
      <c r="M149">
        <f t="shared" si="10"/>
        <v>7.7392947073154064</v>
      </c>
    </row>
    <row r="150" spans="10:13" x14ac:dyDescent="0.15">
      <c r="J150" s="9">
        <v>0.28000000000000003</v>
      </c>
      <c r="K150">
        <v>2.5019362342992331</v>
      </c>
      <c r="L150">
        <f t="shared" si="9"/>
        <v>7.7386285786671323</v>
      </c>
      <c r="M150">
        <f t="shared" si="10"/>
        <v>7.7388565523292723</v>
      </c>
    </row>
    <row r="151" spans="10:13" x14ac:dyDescent="0.15">
      <c r="J151" s="9">
        <v>0.28200000000000003</v>
      </c>
      <c r="K151">
        <v>2.5174134914565673</v>
      </c>
      <c r="L151">
        <f t="shared" si="9"/>
        <v>7.7381586172098267</v>
      </c>
      <c r="M151">
        <f t="shared" si="10"/>
        <v>7.7383970855804831</v>
      </c>
    </row>
    <row r="152" spans="10:13" x14ac:dyDescent="0.15">
      <c r="J152" s="9">
        <v>0.28400000000000003</v>
      </c>
      <c r="K152">
        <v>2.532889808690987</v>
      </c>
      <c r="L152">
        <f t="shared" si="9"/>
        <v>7.7376679166594116</v>
      </c>
      <c r="M152">
        <f t="shared" si="10"/>
        <v>7.7379166925385645</v>
      </c>
    </row>
    <row r="153" spans="10:13" x14ac:dyDescent="0.15">
      <c r="J153" s="9">
        <v>0.28600000000000003</v>
      </c>
      <c r="K153">
        <v>2.5483651445243058</v>
      </c>
      <c r="L153">
        <f t="shared" si="9"/>
        <v>7.7371568428921051</v>
      </c>
      <c r="M153">
        <f t="shared" si="10"/>
        <v>7.7374157454526715</v>
      </c>
    </row>
    <row r="154" spans="10:13" x14ac:dyDescent="0.15">
      <c r="J154" s="9">
        <v>0.28800000000000003</v>
      </c>
      <c r="K154">
        <v>2.5638394582100901</v>
      </c>
      <c r="L154">
        <f t="shared" si="9"/>
        <v>7.7366257493505159</v>
      </c>
      <c r="M154">
        <f t="shared" si="10"/>
        <v>7.736894603897885</v>
      </c>
    </row>
    <row r="155" spans="10:13" x14ac:dyDescent="0.15">
      <c r="J155" s="9">
        <v>0.29000000000000004</v>
      </c>
      <c r="K155">
        <v>2.5793127097087911</v>
      </c>
      <c r="L155">
        <f t="shared" si="9"/>
        <v>7.7360749776014188</v>
      </c>
      <c r="M155">
        <f t="shared" si="10"/>
        <v>7.7363536152954051</v>
      </c>
    </row>
    <row r="156" spans="10:13" x14ac:dyDescent="0.15">
      <c r="J156" s="9">
        <v>0.29200000000000004</v>
      </c>
      <c r="K156">
        <v>2.594784859663994</v>
      </c>
      <c r="L156">
        <f t="shared" si="9"/>
        <v>7.7355048577647452</v>
      </c>
      <c r="M156">
        <f t="shared" si="10"/>
        <v>7.7357931154080726</v>
      </c>
    </row>
    <row r="157" spans="10:13" x14ac:dyDescent="0.15">
      <c r="J157" s="9">
        <v>0.29400000000000004</v>
      </c>
      <c r="K157">
        <v>2.6102558693795235</v>
      </c>
      <c r="L157">
        <f t="shared" si="9"/>
        <v>7.7349157090189564</v>
      </c>
      <c r="M157">
        <f t="shared" si="10"/>
        <v>7.7352134288125569</v>
      </c>
    </row>
    <row r="158" spans="10:13" x14ac:dyDescent="0.15">
      <c r="J158" s="9">
        <v>0.29600000000000004</v>
      </c>
      <c r="K158">
        <v>2.6257257007975614</v>
      </c>
      <c r="L158">
        <f t="shared" si="9"/>
        <v>7.7343078400131589</v>
      </c>
      <c r="M158">
        <f t="shared" si="10"/>
        <v>7.7346148693494134</v>
      </c>
    </row>
    <row r="159" spans="10:13" x14ac:dyDescent="0.15">
      <c r="J159" s="9">
        <v>0.29800000000000004</v>
      </c>
      <c r="K159">
        <v>2.6411943164775877</v>
      </c>
      <c r="L159">
        <f t="shared" si="9"/>
        <v>7.733681549298085</v>
      </c>
      <c r="M159">
        <f t="shared" si="10"/>
        <v>7.7339977405522378</v>
      </c>
    </row>
    <row r="160" spans="10:13" x14ac:dyDescent="0.15">
      <c r="J160" s="9">
        <v>0.3</v>
      </c>
      <c r="K160">
        <v>2.6566616795761835</v>
      </c>
      <c r="L160">
        <f t="shared" si="9"/>
        <v>8.8555389319206128</v>
      </c>
      <c r="M160">
        <f t="shared" si="10"/>
        <v>7.7333623360569845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70"/>
  <sheetViews>
    <sheetView tabSelected="1" workbookViewId="0">
      <selection activeCell="F4" sqref="F4"/>
    </sheetView>
  </sheetViews>
  <sheetFormatPr defaultRowHeight="13.5" x14ac:dyDescent="0.15"/>
  <cols>
    <col min="1" max="1" width="14.125" bestFit="1" customWidth="1"/>
    <col min="2" max="2" width="9.5" bestFit="1" customWidth="1"/>
    <col min="3" max="3" width="15.125" bestFit="1" customWidth="1"/>
    <col min="4" max="5" width="9.5" bestFit="1" customWidth="1"/>
    <col min="6" max="6" width="12.75" bestFit="1" customWidth="1"/>
    <col min="7" max="7" width="12.75" customWidth="1"/>
    <col min="8" max="8" width="12.75" bestFit="1" customWidth="1"/>
    <col min="9" max="10" width="9.625" customWidth="1"/>
    <col min="11" max="11" width="10.75" customWidth="1"/>
  </cols>
  <sheetData>
    <row r="1" spans="1:11" x14ac:dyDescent="0.15">
      <c r="A1" t="s">
        <v>97</v>
      </c>
      <c r="B1">
        <v>10</v>
      </c>
      <c r="C1" t="s">
        <v>89</v>
      </c>
      <c r="D1" s="4">
        <v>0.03</v>
      </c>
    </row>
    <row r="2" spans="1:11" x14ac:dyDescent="0.15">
      <c r="A2" t="s">
        <v>98</v>
      </c>
      <c r="B2">
        <v>101.65</v>
      </c>
      <c r="C2" t="s">
        <v>96</v>
      </c>
      <c r="D2" s="14">
        <f>IY($B$1,$D$1*100,100,$B2,6%)</f>
        <v>2.8084557537631831E-2</v>
      </c>
    </row>
    <row r="3" spans="1:11" x14ac:dyDescent="0.15">
      <c r="A3" t="s">
        <v>99</v>
      </c>
      <c r="B3">
        <v>101.17</v>
      </c>
      <c r="C3" t="s">
        <v>96</v>
      </c>
      <c r="D3" s="14">
        <f>IY($B$1,$D$1*100,100,$B3,6%)</f>
        <v>2.8637920362397186E-2</v>
      </c>
    </row>
    <row r="4" spans="1:11" x14ac:dyDescent="0.15">
      <c r="A4" t="s">
        <v>100</v>
      </c>
      <c r="B4">
        <v>100.785</v>
      </c>
      <c r="C4" t="s">
        <v>96</v>
      </c>
      <c r="D4" s="14">
        <f>IY($B$1,$D$1*100,100,$B4,6%)</f>
        <v>2.9084037139549053E-2</v>
      </c>
    </row>
    <row r="9" spans="1:11" x14ac:dyDescent="0.15">
      <c r="A9" t="s">
        <v>76</v>
      </c>
      <c r="B9" t="s">
        <v>77</v>
      </c>
      <c r="C9" s="10">
        <v>101.955</v>
      </c>
      <c r="D9" t="s">
        <v>82</v>
      </c>
      <c r="E9" s="9">
        <v>2.5305999999999999E-2</v>
      </c>
      <c r="F9" t="s">
        <v>89</v>
      </c>
      <c r="G9" s="4">
        <v>0.03</v>
      </c>
      <c r="H9" t="s">
        <v>96</v>
      </c>
      <c r="I9" s="14">
        <f>IY(5,3,100,$C9,6%)</f>
        <v>2.5782441066343562E-2</v>
      </c>
    </row>
    <row r="10" spans="1:11" x14ac:dyDescent="0.15">
      <c r="A10" t="s">
        <v>80</v>
      </c>
      <c r="B10" t="s">
        <v>78</v>
      </c>
      <c r="C10" s="10">
        <v>101.69</v>
      </c>
      <c r="E10" s="8"/>
      <c r="F10" t="s">
        <v>89</v>
      </c>
      <c r="G10" s="4">
        <v>0.03</v>
      </c>
      <c r="H10" t="s">
        <v>96</v>
      </c>
      <c r="I10" s="14">
        <f>IY(5,3,100,$C10,6%)</f>
        <v>2.6348198407746829E-2</v>
      </c>
    </row>
    <row r="11" spans="1:11" x14ac:dyDescent="0.15">
      <c r="B11" t="s">
        <v>79</v>
      </c>
      <c r="C11" s="10">
        <v>101.395</v>
      </c>
      <c r="F11" t="s">
        <v>89</v>
      </c>
      <c r="G11" s="4">
        <v>0.03</v>
      </c>
      <c r="H11" t="s">
        <v>96</v>
      </c>
      <c r="I11" s="14">
        <f>IY(5,3,100,$C11,6%)</f>
        <v>2.698016919611845E-2</v>
      </c>
    </row>
    <row r="12" spans="1:11" x14ac:dyDescent="0.15">
      <c r="A12" t="s">
        <v>81</v>
      </c>
      <c r="B12">
        <v>1</v>
      </c>
      <c r="C12">
        <v>2</v>
      </c>
      <c r="D12">
        <v>3</v>
      </c>
      <c r="E12">
        <v>4</v>
      </c>
      <c r="F12">
        <v>5</v>
      </c>
    </row>
    <row r="13" spans="1:11" x14ac:dyDescent="0.15">
      <c r="B13">
        <v>3</v>
      </c>
      <c r="C13">
        <v>3</v>
      </c>
      <c r="D13">
        <v>3</v>
      </c>
      <c r="E13">
        <v>3</v>
      </c>
      <c r="F13">
        <v>103</v>
      </c>
    </row>
    <row r="14" spans="1:11" x14ac:dyDescent="0.15">
      <c r="A14">
        <f>SUM(B14:F14)</f>
        <v>102.17883226236236</v>
      </c>
      <c r="B14">
        <f>B13/(1+$E$9)^B12</f>
        <v>2.9259557634501308</v>
      </c>
      <c r="C14">
        <f t="shared" ref="C14:F14" si="0">C13/(1+$E$9)^C12</f>
        <v>2.8537390432223462</v>
      </c>
      <c r="D14">
        <f t="shared" si="0"/>
        <v>2.7833047336330283</v>
      </c>
      <c r="E14">
        <f t="shared" si="0"/>
        <v>2.7146088422705303</v>
      </c>
      <c r="F14">
        <f t="shared" si="0"/>
        <v>90.901223879786329</v>
      </c>
    </row>
    <row r="15" spans="1:11" x14ac:dyDescent="0.15">
      <c r="A15" s="12">
        <f>PV(E9,5,3,100)</f>
        <v>-102.17883226236239</v>
      </c>
      <c r="K15" s="15">
        <f ca="1">TODAY()</f>
        <v>42592</v>
      </c>
    </row>
    <row r="16" spans="1:11" x14ac:dyDescent="0.15">
      <c r="C16">
        <f>101.955</f>
        <v>101.955</v>
      </c>
    </row>
    <row r="17" spans="1:12" x14ac:dyDescent="0.15">
      <c r="A17" t="s">
        <v>83</v>
      </c>
      <c r="B17" t="s">
        <v>84</v>
      </c>
      <c r="C17" t="s">
        <v>85</v>
      </c>
      <c r="D17" t="s">
        <v>86</v>
      </c>
      <c r="E17" t="s">
        <v>87</v>
      </c>
      <c r="F17" t="s">
        <v>88</v>
      </c>
      <c r="G17" t="s">
        <v>92</v>
      </c>
      <c r="H17" t="s">
        <v>91</v>
      </c>
      <c r="I17" t="s">
        <v>94</v>
      </c>
      <c r="J17" t="s">
        <v>95</v>
      </c>
      <c r="K17" t="s">
        <v>90</v>
      </c>
      <c r="L17" t="s">
        <v>93</v>
      </c>
    </row>
    <row r="18" spans="1:12" x14ac:dyDescent="0.15">
      <c r="A18" s="8">
        <v>0.03</v>
      </c>
      <c r="B18" s="11">
        <f>ABS(PV(A18,5,3,100))</f>
        <v>100</v>
      </c>
      <c r="C18">
        <f>$C$16</f>
        <v>101.955</v>
      </c>
      <c r="D18" s="11">
        <f>B18-C18</f>
        <v>-1.9549999999999983</v>
      </c>
      <c r="E18" s="8">
        <f>D18/C18</f>
        <v>-1.9175126281202475E-2</v>
      </c>
      <c r="F18" s="13">
        <f>-100/(1+A18)^6</f>
        <v>-83.748425668365442</v>
      </c>
      <c r="G18" s="8">
        <v>0.03</v>
      </c>
      <c r="H18" s="11">
        <f>ABS(PV(G18,5,3,100))</f>
        <v>100</v>
      </c>
      <c r="I18" s="11">
        <f>H18-$C$16</f>
        <v>-1.9549999999999983</v>
      </c>
      <c r="J18" s="8">
        <f>I18/$C$16</f>
        <v>-1.9175126281202475E-2</v>
      </c>
      <c r="K18">
        <f>MDURATION(DATE(2016,5,11),DATE(2021,5,19),3%,A18,1)</f>
        <v>4.467892630501705</v>
      </c>
      <c r="L18" s="8">
        <f>J18/K18</f>
        <v>-4.2917607621759876E-3</v>
      </c>
    </row>
    <row r="19" spans="1:12" x14ac:dyDescent="0.15">
      <c r="A19" s="8">
        <f>A18*(1-D18/F18)</f>
        <v>2.9299688328085743E-2</v>
      </c>
      <c r="B19" s="11">
        <f>ABS(PV(A19,5,3,100))</f>
        <v>100.32136455269138</v>
      </c>
      <c r="C19">
        <f t="shared" ref="C19:C82" si="1">$C$16</f>
        <v>101.955</v>
      </c>
      <c r="D19" s="11">
        <f>B19-C19</f>
        <v>-1.6336354473086203</v>
      </c>
      <c r="E19" s="8">
        <f>D19/C19</f>
        <v>-1.6023102813090287E-2</v>
      </c>
      <c r="F19" s="13">
        <f>-100/(1+A19)^6</f>
        <v>-84.090890655771958</v>
      </c>
      <c r="G19" s="8">
        <f>G18+L18</f>
        <v>2.5708239237824011E-2</v>
      </c>
      <c r="H19" s="11">
        <f>ABS(PV(G19,5,3,100))</f>
        <v>101.98981985387198</v>
      </c>
      <c r="I19" s="11">
        <f>H19-$C$16</f>
        <v>3.4819853871979944E-2</v>
      </c>
      <c r="J19" s="8">
        <f>I19/$C$16</f>
        <v>3.4152178776891711E-4</v>
      </c>
      <c r="K19">
        <f>MDURATION(DATE(2016,5,11),DATE(2021,5,19),3%,A19,1)</f>
        <v>4.4718456676753089</v>
      </c>
      <c r="L19" s="8">
        <f>J19/K19</f>
        <v>7.6371550618932113E-5</v>
      </c>
    </row>
    <row r="20" spans="1:12" x14ac:dyDescent="0.15">
      <c r="A20" s="8">
        <f t="shared" ref="A20:A43" si="2">A19*(1-D19/F19)</f>
        <v>2.8730482685541275E-2</v>
      </c>
      <c r="B20" s="11">
        <f t="shared" ref="B20:B38" si="3">ABS(PV(A20,5,3,100))</f>
        <v>100.58351522912309</v>
      </c>
      <c r="C20">
        <f t="shared" si="1"/>
        <v>101.955</v>
      </c>
      <c r="D20" s="11">
        <f t="shared" ref="D20:D38" si="4">B20-C20</f>
        <v>-1.3714847708769042</v>
      </c>
      <c r="E20" s="8">
        <f t="shared" ref="E20:E38" si="5">D20/C20</f>
        <v>-1.3451863772025936E-2</v>
      </c>
      <c r="F20" s="13">
        <f t="shared" ref="F20:F43" si="6">-100/(1+A20)^6</f>
        <v>-84.37044649347763</v>
      </c>
      <c r="G20" s="8">
        <f t="shared" ref="G20:G30" si="7">G19+L19</f>
        <v>2.5784610788442942E-2</v>
      </c>
      <c r="H20" s="11">
        <f t="shared" ref="H20:H30" si="8">ABS(PV(G20,5,3,100))</f>
        <v>101.95398206198551</v>
      </c>
      <c r="I20" s="11">
        <f t="shared" ref="I20:I30" si="9">H20-$C$16</f>
        <v>-1.0179380144847983E-3</v>
      </c>
      <c r="J20" s="8">
        <f t="shared" ref="J20:J30" si="10">I20/$C$16</f>
        <v>-9.9841892451061577E-6</v>
      </c>
      <c r="K20">
        <f t="shared" ref="K20:K30" si="11">MDURATION(DATE(2016,5,11),DATE(2021,5,19),3%,A20,1)</f>
        <v>4.475061549497843</v>
      </c>
      <c r="L20" s="8">
        <f t="shared" ref="L20:L30" si="12">J20/K20</f>
        <v>-2.2310730555709357E-6</v>
      </c>
    </row>
    <row r="21" spans="1:12" x14ac:dyDescent="0.15">
      <c r="A21" s="8">
        <f t="shared" si="2"/>
        <v>2.8263453991243578E-2</v>
      </c>
      <c r="B21" s="11">
        <f t="shared" si="3"/>
        <v>100.79924588080637</v>
      </c>
      <c r="C21">
        <f t="shared" si="1"/>
        <v>101.955</v>
      </c>
      <c r="D21" s="11">
        <f t="shared" si="4"/>
        <v>-1.1557541191936309</v>
      </c>
      <c r="E21" s="8">
        <f t="shared" si="5"/>
        <v>-1.1335923880080732E-2</v>
      </c>
      <c r="F21" s="13">
        <f t="shared" si="6"/>
        <v>-84.600629846838103</v>
      </c>
      <c r="G21" s="8">
        <f t="shared" si="7"/>
        <v>2.5782379715387372E-2</v>
      </c>
      <c r="H21" s="11">
        <f t="shared" si="8"/>
        <v>101.95502878334975</v>
      </c>
      <c r="I21" s="11">
        <f t="shared" si="9"/>
        <v>2.8783349748096043E-5</v>
      </c>
      <c r="J21" s="8">
        <f t="shared" si="10"/>
        <v>2.8231425381880284E-7</v>
      </c>
      <c r="K21">
        <f t="shared" si="11"/>
        <v>4.4777020983460574</v>
      </c>
      <c r="L21" s="8">
        <f t="shared" si="12"/>
        <v>6.3048913844242145E-8</v>
      </c>
    </row>
    <row r="22" spans="1:12" x14ac:dyDescent="0.15">
      <c r="A22" s="8">
        <f t="shared" si="2"/>
        <v>2.7877338622691858E-2</v>
      </c>
      <c r="B22" s="11">
        <f t="shared" si="3"/>
        <v>100.97803665150721</v>
      </c>
      <c r="C22">
        <f t="shared" si="1"/>
        <v>101.955</v>
      </c>
      <c r="D22" s="11">
        <f t="shared" si="4"/>
        <v>-0.97696334849278799</v>
      </c>
      <c r="E22" s="8">
        <f t="shared" si="5"/>
        <v>-9.5822995291333229E-3</v>
      </c>
      <c r="F22" s="13">
        <f t="shared" si="6"/>
        <v>-84.791487028302697</v>
      </c>
      <c r="G22" s="8">
        <f t="shared" si="7"/>
        <v>2.5782442764301215E-2</v>
      </c>
      <c r="H22" s="11">
        <f t="shared" si="8"/>
        <v>101.95499920338813</v>
      </c>
      <c r="I22" s="11">
        <f t="shared" si="9"/>
        <v>-7.9661187157853419E-7</v>
      </c>
      <c r="J22" s="8">
        <f t="shared" si="10"/>
        <v>-7.8133673834391078E-9</v>
      </c>
      <c r="K22">
        <f t="shared" si="11"/>
        <v>4.4798864935074247</v>
      </c>
      <c r="L22" s="8">
        <f t="shared" si="12"/>
        <v>-1.7440994084923366E-9</v>
      </c>
    </row>
    <row r="23" spans="1:12" x14ac:dyDescent="0.15">
      <c r="A23" s="8">
        <f t="shared" si="2"/>
        <v>2.7556137296445491E-2</v>
      </c>
      <c r="B23" s="11">
        <f t="shared" si="3"/>
        <v>101.12707028026426</v>
      </c>
      <c r="C23">
        <f t="shared" si="1"/>
        <v>101.955</v>
      </c>
      <c r="D23" s="11">
        <f t="shared" si="4"/>
        <v>-0.82792971973573515</v>
      </c>
      <c r="E23" s="8">
        <f t="shared" si="5"/>
        <v>-8.1205406280784181E-3</v>
      </c>
      <c r="F23" s="13">
        <f t="shared" si="6"/>
        <v>-84.950639970251046</v>
      </c>
      <c r="G23" s="8">
        <f t="shared" si="7"/>
        <v>2.5782441020201805E-2</v>
      </c>
      <c r="H23" s="11">
        <f t="shared" si="8"/>
        <v>101.95500002164781</v>
      </c>
      <c r="I23" s="11">
        <f t="shared" si="9"/>
        <v>2.1647807102453953E-8</v>
      </c>
      <c r="J23" s="8">
        <f t="shared" si="10"/>
        <v>2.1232707667553286E-10</v>
      </c>
      <c r="K23">
        <f t="shared" si="11"/>
        <v>4.4817045611437418</v>
      </c>
      <c r="L23" s="8">
        <f t="shared" si="12"/>
        <v>4.7376410867508515E-11</v>
      </c>
    </row>
    <row r="24" spans="1:12" x14ac:dyDescent="0.15">
      <c r="A24" s="8">
        <f t="shared" si="2"/>
        <v>2.7287574928500587E-2</v>
      </c>
      <c r="B24" s="11">
        <f t="shared" si="3"/>
        <v>101.25189057776767</v>
      </c>
      <c r="C24">
        <f t="shared" si="1"/>
        <v>101.955</v>
      </c>
      <c r="D24" s="11">
        <f t="shared" si="4"/>
        <v>-0.70310942223233042</v>
      </c>
      <c r="E24" s="8">
        <f t="shared" si="5"/>
        <v>-6.8962721027152219E-3</v>
      </c>
      <c r="F24" s="13">
        <f t="shared" si="6"/>
        <v>-85.083978258702004</v>
      </c>
      <c r="G24" s="8">
        <f t="shared" si="7"/>
        <v>2.5782441067578217E-2</v>
      </c>
      <c r="H24" s="11">
        <f t="shared" si="8"/>
        <v>101.95499999942074</v>
      </c>
      <c r="I24" s="11">
        <f t="shared" si="9"/>
        <v>-5.7926285990106408E-10</v>
      </c>
      <c r="J24" s="8">
        <f t="shared" si="10"/>
        <v>-5.681554214124507E-12</v>
      </c>
      <c r="K24">
        <f t="shared" si="11"/>
        <v>4.4832253195518978</v>
      </c>
      <c r="L24" s="8">
        <f t="shared" si="12"/>
        <v>-1.2672916949649061E-12</v>
      </c>
    </row>
    <row r="25" spans="1:12" x14ac:dyDescent="0.15">
      <c r="A25" s="8">
        <f t="shared" si="2"/>
        <v>2.7062078290534707E-2</v>
      </c>
      <c r="B25" s="11">
        <f t="shared" si="3"/>
        <v>101.35684347781194</v>
      </c>
      <c r="C25">
        <f t="shared" si="1"/>
        <v>101.955</v>
      </c>
      <c r="D25" s="11">
        <f t="shared" si="4"/>
        <v>-0.59815652218806292</v>
      </c>
      <c r="E25" s="8">
        <f t="shared" si="5"/>
        <v>-5.8668679533918191E-3</v>
      </c>
      <c r="F25" s="13">
        <f t="shared" si="6"/>
        <v>-85.196123486750935</v>
      </c>
      <c r="G25" s="8">
        <f t="shared" si="7"/>
        <v>2.5782441066310925E-2</v>
      </c>
      <c r="H25" s="11">
        <f t="shared" si="8"/>
        <v>101.9550000000153</v>
      </c>
      <c r="I25" s="11">
        <f t="shared" si="9"/>
        <v>1.5305090528272558E-11</v>
      </c>
      <c r="J25" s="8">
        <f t="shared" si="10"/>
        <v>1.5011613484647696E-13</v>
      </c>
      <c r="K25">
        <f t="shared" si="11"/>
        <v>4.4845026638729797</v>
      </c>
      <c r="L25" s="8">
        <f t="shared" si="12"/>
        <v>3.3474422048136596E-14</v>
      </c>
    </row>
    <row r="26" spans="1:12" x14ac:dyDescent="0.15">
      <c r="A26" s="8">
        <f t="shared" si="2"/>
        <v>2.687207717345378E-2</v>
      </c>
      <c r="B26" s="11">
        <f t="shared" si="3"/>
        <v>101.44538098325003</v>
      </c>
      <c r="C26">
        <f t="shared" si="1"/>
        <v>101.955</v>
      </c>
      <c r="D26" s="11">
        <f t="shared" si="4"/>
        <v>-0.50961901674996568</v>
      </c>
      <c r="E26" s="8">
        <f t="shared" si="5"/>
        <v>-4.9984700774848281E-3</v>
      </c>
      <c r="F26" s="13">
        <f t="shared" si="6"/>
        <v>-85.290749771765789</v>
      </c>
      <c r="G26" s="8">
        <f t="shared" si="7"/>
        <v>2.5782441066344398E-2</v>
      </c>
      <c r="H26" s="11">
        <f t="shared" si="8"/>
        <v>101.9549999999996</v>
      </c>
      <c r="I26" s="11">
        <f t="shared" si="9"/>
        <v>-3.979039320256561E-13</v>
      </c>
      <c r="J26" s="8">
        <f t="shared" si="10"/>
        <v>-3.9027407388127713E-15</v>
      </c>
      <c r="K26">
        <f t="shared" si="11"/>
        <v>4.4855792596039361</v>
      </c>
      <c r="L26" s="8">
        <f t="shared" si="12"/>
        <v>-8.7006393443092833E-16</v>
      </c>
    </row>
    <row r="27" spans="1:12" x14ac:dyDescent="0.15">
      <c r="A27" s="8">
        <f t="shared" si="2"/>
        <v>2.6711514374043403E-2</v>
      </c>
      <c r="B27" s="11">
        <f t="shared" si="3"/>
        <v>101.52027586543473</v>
      </c>
      <c r="C27">
        <f t="shared" si="1"/>
        <v>101.955</v>
      </c>
      <c r="D27" s="11">
        <f t="shared" si="4"/>
        <v>-0.43472413456527192</v>
      </c>
      <c r="E27" s="8">
        <f t="shared" si="5"/>
        <v>-4.2638824438749638E-3</v>
      </c>
      <c r="F27" s="13">
        <f t="shared" si="6"/>
        <v>-85.370810489115783</v>
      </c>
      <c r="G27" s="8">
        <f t="shared" si="7"/>
        <v>2.5782441066343528E-2</v>
      </c>
      <c r="H27" s="11">
        <f t="shared" si="8"/>
        <v>101.955</v>
      </c>
      <c r="I27" s="11">
        <f t="shared" si="9"/>
        <v>0</v>
      </c>
      <c r="J27" s="8">
        <f t="shared" si="10"/>
        <v>0</v>
      </c>
      <c r="K27">
        <f t="shared" si="11"/>
        <v>4.4864892775554095</v>
      </c>
      <c r="L27" s="8">
        <f t="shared" si="12"/>
        <v>0</v>
      </c>
    </row>
    <row r="28" spans="1:12" x14ac:dyDescent="0.15">
      <c r="A28" s="8">
        <f t="shared" si="2"/>
        <v>2.6575494346792235E-2</v>
      </c>
      <c r="B28" s="11">
        <f t="shared" si="3"/>
        <v>101.58377664597143</v>
      </c>
      <c r="C28">
        <f t="shared" si="1"/>
        <v>101.955</v>
      </c>
      <c r="D28" s="11">
        <f t="shared" si="4"/>
        <v>-0.37122335402857232</v>
      </c>
      <c r="E28" s="8">
        <f t="shared" si="5"/>
        <v>-3.6410509933654293E-3</v>
      </c>
      <c r="F28" s="13">
        <f t="shared" si="6"/>
        <v>-85.438702157285192</v>
      </c>
      <c r="G28" s="8">
        <f t="shared" si="7"/>
        <v>2.5782441066343528E-2</v>
      </c>
      <c r="H28" s="11">
        <f t="shared" si="8"/>
        <v>101.955</v>
      </c>
      <c r="I28" s="11">
        <f t="shared" si="9"/>
        <v>0</v>
      </c>
      <c r="J28" s="8">
        <f t="shared" si="10"/>
        <v>0</v>
      </c>
      <c r="K28">
        <f t="shared" si="11"/>
        <v>4.4872603580703334</v>
      </c>
      <c r="L28" s="8">
        <f t="shared" si="12"/>
        <v>0</v>
      </c>
    </row>
    <row r="29" spans="1:12" x14ac:dyDescent="0.15">
      <c r="A29" s="8">
        <f t="shared" si="2"/>
        <v>2.6460026252154958E-2</v>
      </c>
      <c r="B29" s="11">
        <f t="shared" si="3"/>
        <v>101.63772163892482</v>
      </c>
      <c r="C29">
        <f t="shared" si="1"/>
        <v>101.955</v>
      </c>
      <c r="D29" s="11">
        <f t="shared" si="4"/>
        <v>-0.31727836107518215</v>
      </c>
      <c r="E29" s="8">
        <f t="shared" si="5"/>
        <v>-3.1119450843527258E-3</v>
      </c>
      <c r="F29" s="13">
        <f t="shared" si="6"/>
        <v>-85.496385177129838</v>
      </c>
      <c r="G29" s="8">
        <f t="shared" si="7"/>
        <v>2.5782441066343528E-2</v>
      </c>
      <c r="H29" s="11">
        <f t="shared" si="8"/>
        <v>101.955</v>
      </c>
      <c r="I29" s="11">
        <f t="shared" si="9"/>
        <v>0</v>
      </c>
      <c r="J29" s="8">
        <f t="shared" si="10"/>
        <v>0</v>
      </c>
      <c r="K29">
        <f t="shared" si="11"/>
        <v>4.4879150496689553</v>
      </c>
      <c r="L29" s="8">
        <f t="shared" si="12"/>
        <v>0</v>
      </c>
    </row>
    <row r="30" spans="1:12" x14ac:dyDescent="0.15">
      <c r="A30" s="8">
        <f t="shared" si="2"/>
        <v>2.6361832699925855E-2</v>
      </c>
      <c r="B30" s="11">
        <f t="shared" si="3"/>
        <v>101.68362431560917</v>
      </c>
      <c r="C30">
        <f t="shared" si="1"/>
        <v>101.955</v>
      </c>
      <c r="D30" s="11">
        <f t="shared" si="4"/>
        <v>-0.27137568439083282</v>
      </c>
      <c r="E30" s="8">
        <f t="shared" si="5"/>
        <v>-2.6617202137299086E-3</v>
      </c>
      <c r="F30" s="13">
        <f t="shared" si="6"/>
        <v>-85.545474309461483</v>
      </c>
      <c r="G30" s="14">
        <f t="shared" si="7"/>
        <v>2.5782441066343528E-2</v>
      </c>
      <c r="H30" s="11">
        <f t="shared" si="8"/>
        <v>101.955</v>
      </c>
      <c r="I30" s="11">
        <f t="shared" si="9"/>
        <v>0</v>
      </c>
      <c r="J30" s="8">
        <f t="shared" si="10"/>
        <v>0</v>
      </c>
      <c r="K30">
        <f t="shared" si="11"/>
        <v>4.4884718813461699</v>
      </c>
      <c r="L30" s="8">
        <f t="shared" si="12"/>
        <v>0</v>
      </c>
    </row>
    <row r="31" spans="1:12" x14ac:dyDescent="0.15">
      <c r="A31" s="8">
        <f t="shared" si="2"/>
        <v>2.6278205127006456E-2</v>
      </c>
      <c r="B31" s="11">
        <f t="shared" si="3"/>
        <v>101.72273818929887</v>
      </c>
      <c r="C31">
        <f t="shared" si="1"/>
        <v>101.955</v>
      </c>
      <c r="D31" s="11">
        <f t="shared" si="4"/>
        <v>-0.23226181070113228</v>
      </c>
      <c r="E31" s="8">
        <f t="shared" si="5"/>
        <v>-2.2780816115063733E-3</v>
      </c>
      <c r="F31" s="13">
        <f t="shared" si="6"/>
        <v>-85.587307515430567</v>
      </c>
      <c r="G31" s="13"/>
    </row>
    <row r="32" spans="1:12" x14ac:dyDescent="0.15">
      <c r="A32" s="8">
        <f t="shared" si="2"/>
        <v>2.6206892876604444E-2</v>
      </c>
      <c r="B32" s="11">
        <f t="shared" si="3"/>
        <v>101.75610681609392</v>
      </c>
      <c r="C32">
        <f t="shared" si="1"/>
        <v>101.955</v>
      </c>
      <c r="D32" s="11">
        <f t="shared" si="4"/>
        <v>-0.19889318390607968</v>
      </c>
      <c r="E32" s="8">
        <f t="shared" si="5"/>
        <v>-1.9507938198821018E-3</v>
      </c>
      <c r="F32" s="13">
        <f t="shared" si="6"/>
        <v>-85.622999054706924</v>
      </c>
      <c r="G32" s="13"/>
    </row>
    <row r="33" spans="1:7" x14ac:dyDescent="0.15">
      <c r="A33" s="8">
        <f t="shared" si="2"/>
        <v>2.6146017032239507E-2</v>
      </c>
      <c r="B33" s="11">
        <f t="shared" si="3"/>
        <v>101.78460280548414</v>
      </c>
      <c r="C33">
        <f t="shared" si="1"/>
        <v>101.955</v>
      </c>
      <c r="D33" s="11">
        <f t="shared" si="4"/>
        <v>-0.17039719451585711</v>
      </c>
      <c r="E33" s="8">
        <f t="shared" si="5"/>
        <v>-1.6712980679305294E-3</v>
      </c>
      <c r="F33" s="13">
        <f t="shared" si="6"/>
        <v>-85.653480947511895</v>
      </c>
      <c r="G33" s="13"/>
    </row>
    <row r="34" spans="1:7" x14ac:dyDescent="0.15">
      <c r="A34" s="8">
        <f t="shared" si="2"/>
        <v>2.6094002707768706E-2</v>
      </c>
      <c r="B34" s="11">
        <f t="shared" si="3"/>
        <v>101.80895859660924</v>
      </c>
      <c r="C34">
        <f t="shared" si="1"/>
        <v>101.955</v>
      </c>
      <c r="D34" s="11">
        <f t="shared" si="4"/>
        <v>-0.146041403390754</v>
      </c>
      <c r="E34" s="8">
        <f t="shared" si="5"/>
        <v>-1.4324104103845227E-3</v>
      </c>
      <c r="F34" s="13">
        <f t="shared" si="6"/>
        <v>-85.679535710020517</v>
      </c>
      <c r="G34" s="13"/>
    </row>
    <row r="35" spans="1:7" x14ac:dyDescent="0.15">
      <c r="A35" s="8">
        <f t="shared" si="2"/>
        <v>2.6049525286830966E-2</v>
      </c>
      <c r="B35" s="11">
        <f t="shared" si="3"/>
        <v>101.82979098208443</v>
      </c>
      <c r="C35">
        <f t="shared" si="1"/>
        <v>101.955</v>
      </c>
      <c r="D35" s="11">
        <f t="shared" si="4"/>
        <v>-0.12520901791556582</v>
      </c>
      <c r="E35" s="8">
        <f t="shared" si="5"/>
        <v>-1.228081191854895E-3</v>
      </c>
      <c r="F35" s="13">
        <f t="shared" si="6"/>
        <v>-85.701822457499048</v>
      </c>
      <c r="G35" s="13"/>
    </row>
    <row r="36" spans="1:7" x14ac:dyDescent="0.15">
      <c r="A36" s="8">
        <f t="shared" si="2"/>
        <v>2.6011467339114063E-2</v>
      </c>
      <c r="B36" s="11">
        <f t="shared" si="3"/>
        <v>101.84762082552267</v>
      </c>
      <c r="C36">
        <f t="shared" si="1"/>
        <v>101.955</v>
      </c>
      <c r="D36" s="11">
        <f t="shared" si="4"/>
        <v>-0.10737917447733025</v>
      </c>
      <c r="E36" s="8">
        <f t="shared" si="5"/>
        <v>-1.0532016524675617E-3</v>
      </c>
      <c r="F36" s="13">
        <f t="shared" si="6"/>
        <v>-85.720897904845728</v>
      </c>
      <c r="G36" s="13"/>
    </row>
    <row r="37" spans="1:7" x14ac:dyDescent="0.15">
      <c r="A37" s="8">
        <f t="shared" si="2"/>
        <v>2.597888380396586E-2</v>
      </c>
      <c r="B37" s="11">
        <f t="shared" si="3"/>
        <v>101.86288904236041</v>
      </c>
      <c r="C37">
        <f t="shared" si="1"/>
        <v>101.955</v>
      </c>
      <c r="D37" s="11">
        <f t="shared" si="4"/>
        <v>-9.2110957639590652E-2</v>
      </c>
      <c r="E37" s="8">
        <f t="shared" si="5"/>
        <v>-9.0344718394969005E-4</v>
      </c>
      <c r="F37" s="13">
        <f t="shared" si="6"/>
        <v>-85.737233396954181</v>
      </c>
      <c r="G37" s="13"/>
    </row>
    <row r="38" spans="1:7" x14ac:dyDescent="0.15">
      <c r="A38" s="8">
        <f t="shared" si="2"/>
        <v>2.5950973644391293E-2</v>
      </c>
      <c r="B38" s="11">
        <f t="shared" si="3"/>
        <v>101.87596964517054</v>
      </c>
      <c r="C38">
        <f t="shared" si="1"/>
        <v>101.955</v>
      </c>
      <c r="D38" s="11">
        <f t="shared" si="4"/>
        <v>-7.9030354829455973E-2</v>
      </c>
      <c r="E38" s="8">
        <f t="shared" si="5"/>
        <v>-7.7514937795552911E-4</v>
      </c>
      <c r="F38" s="13">
        <f t="shared" si="6"/>
        <v>-85.751228817853956</v>
      </c>
      <c r="G38" s="13"/>
    </row>
    <row r="39" spans="1:7" x14ac:dyDescent="0.15">
      <c r="A39" s="8">
        <f t="shared" si="2"/>
        <v>2.5927056615054692E-2</v>
      </c>
      <c r="B39" s="11">
        <f t="shared" ref="B39:B83" si="13">ABS(PV(A39,5,3,100))</f>
        <v>101.88718046073036</v>
      </c>
      <c r="C39">
        <f t="shared" si="1"/>
        <v>101.955</v>
      </c>
      <c r="D39" s="11">
        <f t="shared" ref="D39:D40" si="14">B39-C39</f>
        <v>-6.7819539269635243E-2</v>
      </c>
      <c r="E39" s="8">
        <f t="shared" ref="E39:E40" si="15">D39/C39</f>
        <v>-6.6519091039807016E-4</v>
      </c>
      <c r="F39" s="13">
        <f t="shared" si="6"/>
        <v>-85.763224022636791</v>
      </c>
      <c r="G39" s="13"/>
    </row>
    <row r="40" spans="1:7" x14ac:dyDescent="0.15">
      <c r="A40" s="8">
        <f t="shared" si="2"/>
        <v>2.5906554108831432E-2</v>
      </c>
      <c r="B40" s="11">
        <f t="shared" si="13"/>
        <v>101.89679198426958</v>
      </c>
      <c r="C40">
        <f t="shared" si="1"/>
        <v>101.955</v>
      </c>
      <c r="D40" s="11">
        <f t="shared" si="14"/>
        <v>-5.8208015730414786E-2</v>
      </c>
      <c r="E40" s="8">
        <f t="shared" si="15"/>
        <v>-5.709186967820586E-4</v>
      </c>
      <c r="F40" s="13">
        <f t="shared" si="6"/>
        <v>-85.773508286134131</v>
      </c>
      <c r="G40" s="13"/>
    </row>
    <row r="41" spans="1:7" x14ac:dyDescent="0.15">
      <c r="A41" s="8">
        <f t="shared" si="2"/>
        <v>2.5888973283012144E-2</v>
      </c>
      <c r="B41" s="11">
        <f t="shared" si="13"/>
        <v>101.9050347313491</v>
      </c>
      <c r="C41">
        <f t="shared" si="1"/>
        <v>101.955</v>
      </c>
      <c r="D41" s="11">
        <f t="shared" ref="D41" si="16">B41-C41</f>
        <v>-4.996526865089379E-2</v>
      </c>
      <c r="E41" s="8">
        <f t="shared" ref="E41" si="17">D41/C41</f>
        <v>-4.9007178314838698E-4</v>
      </c>
      <c r="F41" s="13">
        <f t="shared" si="6"/>
        <v>-85.782328151181673</v>
      </c>
      <c r="G41" s="13"/>
    </row>
    <row r="42" spans="1:7" x14ac:dyDescent="0.15">
      <c r="A42" s="8">
        <f t="shared" si="2"/>
        <v>2.5873893842606868E-2</v>
      </c>
      <c r="B42" s="11">
        <f t="shared" si="13"/>
        <v>101.91210536926148</v>
      </c>
      <c r="C42">
        <f t="shared" si="1"/>
        <v>101.955</v>
      </c>
      <c r="D42" s="11">
        <f t="shared" ref="D42" si="18">B42-C42</f>
        <v>-4.2894630738516071E-2</v>
      </c>
      <c r="E42" s="8">
        <f t="shared" ref="E42" si="19">D42/C42</f>
        <v>-4.2072120777319474E-4</v>
      </c>
      <c r="F42" s="13">
        <f t="shared" si="6"/>
        <v>-85.789893976078631</v>
      </c>
      <c r="G42" s="13"/>
    </row>
    <row r="43" spans="1:7" x14ac:dyDescent="0.15">
      <c r="A43" s="8">
        <f t="shared" si="2"/>
        <v>2.5860956991065175E-2</v>
      </c>
      <c r="B43" s="11">
        <f t="shared" si="13"/>
        <v>101.91817185043033</v>
      </c>
      <c r="C43">
        <f t="shared" si="1"/>
        <v>101.955</v>
      </c>
      <c r="D43" s="11">
        <f t="shared" ref="D43" si="20">B43-C43</f>
        <v>-3.6828149569672064E-2</v>
      </c>
      <c r="E43" s="8">
        <f t="shared" ref="E43" si="21">D43/C43</f>
        <v>-3.6121965150970591E-4</v>
      </c>
      <c r="F43" s="13">
        <f t="shared" si="6"/>
        <v>-85.796385417858716</v>
      </c>
      <c r="G43" s="13"/>
    </row>
    <row r="44" spans="1:7" x14ac:dyDescent="0.15">
      <c r="A44" s="8">
        <f t="shared" ref="A44:A59" si="22">A43*(1-D43/F43)</f>
        <v>2.5849856159865313E-2</v>
      </c>
      <c r="B44" s="11">
        <f t="shared" si="13"/>
        <v>101.92337772489709</v>
      </c>
      <c r="C44">
        <f t="shared" si="1"/>
        <v>101.955</v>
      </c>
      <c r="D44" s="11">
        <f t="shared" ref="D44:D59" si="23">B44-C44</f>
        <v>-3.1622275102904496E-2</v>
      </c>
      <c r="E44" s="8">
        <f t="shared" ref="E44:E59" si="24">D44/C44</f>
        <v>-3.1015913984507379E-4</v>
      </c>
      <c r="F44" s="13">
        <f t="shared" ref="F44:F59" si="25">-100/(1+A44)^6</f>
        <v>-85.801956039829051</v>
      </c>
      <c r="G44" s="13"/>
    </row>
    <row r="45" spans="1:7" x14ac:dyDescent="0.15">
      <c r="A45" s="8">
        <f t="shared" si="22"/>
        <v>2.5840329206161854E-2</v>
      </c>
      <c r="B45" s="11">
        <f t="shared" si="13"/>
        <v>101.9278457739732</v>
      </c>
      <c r="C45">
        <f t="shared" si="1"/>
        <v>101.955</v>
      </c>
      <c r="D45" s="11">
        <f t="shared" si="23"/>
        <v>-2.7154226026794959E-2</v>
      </c>
      <c r="E45" s="8">
        <f t="shared" si="24"/>
        <v>-2.6633540313662849E-4</v>
      </c>
      <c r="F45" s="13">
        <f t="shared" si="25"/>
        <v>-85.806737194664649</v>
      </c>
      <c r="G45" s="13"/>
    </row>
    <row r="46" spans="1:7" x14ac:dyDescent="0.15">
      <c r="A46" s="8">
        <f t="shared" si="22"/>
        <v>2.5832151827988401E-2</v>
      </c>
      <c r="B46" s="11">
        <f t="shared" si="13"/>
        <v>101.93168107988284</v>
      </c>
      <c r="C46">
        <f t="shared" si="1"/>
        <v>101.955</v>
      </c>
      <c r="D46" s="11">
        <f t="shared" si="23"/>
        <v>-2.3318920117162634E-2</v>
      </c>
      <c r="E46" s="8">
        <f t="shared" si="24"/>
        <v>-2.2871776879174768E-4</v>
      </c>
      <c r="F46" s="13">
        <f t="shared" si="25"/>
        <v>-85.810841305393708</v>
      </c>
      <c r="G46" s="13"/>
    </row>
    <row r="47" spans="1:7" x14ac:dyDescent="0.15">
      <c r="A47" s="8">
        <f t="shared" si="22"/>
        <v>2.5825131993713762E-2</v>
      </c>
      <c r="B47" s="11">
        <f t="shared" si="13"/>
        <v>101.93497362482253</v>
      </c>
      <c r="C47">
        <f t="shared" si="1"/>
        <v>101.955</v>
      </c>
      <c r="D47" s="11">
        <f t="shared" si="23"/>
        <v>-2.0026375177465638E-2</v>
      </c>
      <c r="E47" s="8">
        <f t="shared" si="24"/>
        <v>-1.9642366904482997E-4</v>
      </c>
      <c r="F47" s="13">
        <f t="shared" si="25"/>
        <v>-85.814364643855143</v>
      </c>
      <c r="G47" s="13"/>
    </row>
    <row r="48" spans="1:7" x14ac:dyDescent="0.15">
      <c r="A48" s="8">
        <f t="shared" si="22"/>
        <v>2.5819105219706168E-2</v>
      </c>
      <c r="B48" s="11">
        <f t="shared" si="13"/>
        <v>101.93780049592023</v>
      </c>
      <c r="C48">
        <f t="shared" si="1"/>
        <v>101.955</v>
      </c>
      <c r="D48" s="11">
        <f t="shared" si="23"/>
        <v>-1.7199504079769667E-2</v>
      </c>
      <c r="E48" s="8">
        <f t="shared" si="24"/>
        <v>-1.6869701417066027E-4</v>
      </c>
      <c r="F48" s="13">
        <f t="shared" si="25"/>
        <v>-85.817389688188953</v>
      </c>
      <c r="G48" s="13"/>
    </row>
    <row r="49" spans="1:7" x14ac:dyDescent="0.15">
      <c r="A49" s="8">
        <f t="shared" si="22"/>
        <v>2.5813930559801274E-2</v>
      </c>
      <c r="B49" s="11">
        <f t="shared" si="13"/>
        <v>101.94022775905665</v>
      </c>
      <c r="C49">
        <f t="shared" si="1"/>
        <v>101.955</v>
      </c>
      <c r="D49" s="11">
        <f t="shared" si="23"/>
        <v>-1.4772240943344173E-2</v>
      </c>
      <c r="E49" s="8">
        <f t="shared" si="24"/>
        <v>-1.4488981357799199E-4</v>
      </c>
      <c r="F49" s="13">
        <f t="shared" si="25"/>
        <v>-85.819987126531245</v>
      </c>
      <c r="G49" s="13"/>
    </row>
    <row r="50" spans="1:7" x14ac:dyDescent="0.15">
      <c r="A50" s="8">
        <f t="shared" si="22"/>
        <v>2.5809487193929382E-2</v>
      </c>
      <c r="B50" s="11">
        <f t="shared" si="13"/>
        <v>101.94231205364481</v>
      </c>
      <c r="C50">
        <f t="shared" si="1"/>
        <v>101.955</v>
      </c>
      <c r="D50" s="11">
        <f t="shared" si="23"/>
        <v>-1.2687946355185886E-2</v>
      </c>
      <c r="E50" s="8">
        <f t="shared" si="24"/>
        <v>-1.2444653381576075E-4</v>
      </c>
      <c r="F50" s="13">
        <f t="shared" si="25"/>
        <v>-85.822217562510374</v>
      </c>
      <c r="G50" s="13"/>
    </row>
    <row r="51" spans="1:7" x14ac:dyDescent="0.15">
      <c r="A51" s="8">
        <f t="shared" si="22"/>
        <v>2.580567152243694E-2</v>
      </c>
      <c r="B51" s="11">
        <f t="shared" si="13"/>
        <v>101.94410195166817</v>
      </c>
      <c r="C51">
        <f t="shared" si="1"/>
        <v>101.955</v>
      </c>
      <c r="D51" s="11">
        <f t="shared" si="23"/>
        <v>-1.0898048331824839E-2</v>
      </c>
      <c r="E51" s="8">
        <f t="shared" si="24"/>
        <v>-1.068907687884345E-4</v>
      </c>
      <c r="F51" s="13">
        <f t="shared" si="25"/>
        <v>-85.824132968770826</v>
      </c>
      <c r="G51" s="13"/>
    </row>
    <row r="52" spans="1:7" x14ac:dyDescent="0.15">
      <c r="A52" s="8">
        <f t="shared" si="22"/>
        <v>2.5802394688220754E-2</v>
      </c>
      <c r="B52" s="11">
        <f t="shared" si="13"/>
        <v>101.94563911711434</v>
      </c>
      <c r="C52">
        <f t="shared" si="1"/>
        <v>101.955</v>
      </c>
      <c r="D52" s="11">
        <f t="shared" si="23"/>
        <v>-9.3608828856588389E-3</v>
      </c>
      <c r="E52" s="8">
        <f t="shared" si="24"/>
        <v>-9.1813867742227841E-5</v>
      </c>
      <c r="F52" s="13">
        <f t="shared" si="25"/>
        <v>-85.825777927114899</v>
      </c>
      <c r="G52" s="13"/>
    </row>
    <row r="53" spans="1:7" x14ac:dyDescent="0.15">
      <c r="A53" s="8">
        <f t="shared" si="22"/>
        <v>2.5799580461531763E-2</v>
      </c>
      <c r="B53" s="11">
        <f t="shared" si="13"/>
        <v>101.94695929607255</v>
      </c>
      <c r="C53">
        <f t="shared" si="1"/>
        <v>101.955</v>
      </c>
      <c r="D53" s="11">
        <f t="shared" si="23"/>
        <v>-8.0407039274490444E-3</v>
      </c>
      <c r="E53" s="8">
        <f t="shared" si="24"/>
        <v>-7.8865224142504482E-5</v>
      </c>
      <c r="F53" s="13">
        <f t="shared" si="25"/>
        <v>-85.827190687595703</v>
      </c>
      <c r="G53" s="13"/>
    </row>
    <row r="54" spans="1:7" x14ac:dyDescent="0.15">
      <c r="A54" s="8">
        <f t="shared" si="22"/>
        <v>2.5797163432775706E-2</v>
      </c>
      <c r="B54" s="11">
        <f t="shared" si="13"/>
        <v>101.94809316292969</v>
      </c>
      <c r="C54">
        <f t="shared" si="1"/>
        <v>101.955</v>
      </c>
      <c r="D54" s="11">
        <f t="shared" si="23"/>
        <v>-6.9068370703035953E-3</v>
      </c>
      <c r="E54" s="8">
        <f t="shared" si="24"/>
        <v>-6.7743975972768333E-5</v>
      </c>
      <c r="F54" s="13">
        <f t="shared" si="25"/>
        <v>-85.828404073734873</v>
      </c>
      <c r="G54" s="13"/>
    </row>
    <row r="55" spans="1:7" x14ac:dyDescent="0.15">
      <c r="A55" s="8">
        <f t="shared" si="22"/>
        <v>2.5795087467288185E-2</v>
      </c>
      <c r="B55" s="11">
        <f t="shared" si="13"/>
        <v>101.94906704409836</v>
      </c>
      <c r="C55">
        <f t="shared" si="1"/>
        <v>101.955</v>
      </c>
      <c r="D55" s="11">
        <f t="shared" si="23"/>
        <v>-5.9329559016418898E-3</v>
      </c>
      <c r="E55" s="8">
        <f t="shared" si="24"/>
        <v>-5.8191907230071008E-5</v>
      </c>
      <c r="F55" s="13">
        <f t="shared" si="25"/>
        <v>-85.829446256769401</v>
      </c>
      <c r="G55" s="13"/>
    </row>
    <row r="56" spans="1:7" x14ac:dyDescent="0.15">
      <c r="A56" s="8">
        <f t="shared" si="22"/>
        <v>2.5793304383240727E-2</v>
      </c>
      <c r="B56" s="11">
        <f t="shared" si="13"/>
        <v>101.9499035373843</v>
      </c>
      <c r="C56">
        <f t="shared" si="1"/>
        <v>101.955</v>
      </c>
      <c r="D56" s="11">
        <f t="shared" si="23"/>
        <v>-5.0964626156968507E-3</v>
      </c>
      <c r="E56" s="8">
        <f t="shared" si="24"/>
        <v>-4.9987373014534362E-5</v>
      </c>
      <c r="F56" s="13">
        <f t="shared" si="25"/>
        <v>-85.83034141828476</v>
      </c>
      <c r="G56" s="13"/>
    </row>
    <row r="57" spans="1:7" x14ac:dyDescent="0.15">
      <c r="A57" s="8">
        <f t="shared" si="22"/>
        <v>2.5791772819817441E-2</v>
      </c>
      <c r="B57" s="11">
        <f t="shared" si="13"/>
        <v>101.95062204232491</v>
      </c>
      <c r="C57">
        <f t="shared" si="1"/>
        <v>101.955</v>
      </c>
      <c r="D57" s="11">
        <f t="shared" si="23"/>
        <v>-4.3779576750893057E-3</v>
      </c>
      <c r="E57" s="8">
        <f t="shared" si="24"/>
        <v>-4.2940097838157083E-5</v>
      </c>
      <c r="F57" s="13">
        <f t="shared" si="25"/>
        <v>-85.831110317621025</v>
      </c>
      <c r="G57" s="13"/>
    </row>
    <row r="58" spans="1:7" x14ac:dyDescent="0.15">
      <c r="A58" s="14">
        <f t="shared" si="22"/>
        <v>2.5790457267806603E-2</v>
      </c>
      <c r="B58" s="11">
        <f t="shared" si="13"/>
        <v>101.95123921450472</v>
      </c>
      <c r="C58">
        <f t="shared" si="1"/>
        <v>101.955</v>
      </c>
      <c r="D58" s="11">
        <f t="shared" si="23"/>
        <v>-3.7607854952739217E-3</v>
      </c>
      <c r="E58" s="8">
        <f t="shared" si="24"/>
        <v>-3.6886719584855297E-5</v>
      </c>
      <c r="F58" s="13">
        <f t="shared" si="25"/>
        <v>-85.831770777957644</v>
      </c>
      <c r="G58" s="13"/>
    </row>
    <row r="59" spans="1:7" x14ac:dyDescent="0.15">
      <c r="A59" s="8">
        <f t="shared" si="22"/>
        <v>2.5789327238952133E-2</v>
      </c>
      <c r="B59" s="11">
        <f t="shared" si="13"/>
        <v>101.95176935489941</v>
      </c>
      <c r="C59">
        <f t="shared" si="1"/>
        <v>101.955</v>
      </c>
      <c r="D59" s="11">
        <f t="shared" si="23"/>
        <v>-3.2306451005865711E-3</v>
      </c>
      <c r="E59" s="8">
        <f t="shared" si="24"/>
        <v>-3.1686970728130753E-5</v>
      </c>
      <c r="F59" s="13">
        <f t="shared" si="25"/>
        <v>-85.832338102897538</v>
      </c>
      <c r="G59" s="13"/>
    </row>
    <row r="60" spans="1:7" x14ac:dyDescent="0.15">
      <c r="A60" s="8">
        <f t="shared" ref="A60:A67" si="26">A59*(1-D59/F59)</f>
        <v>2.5788356553945371E-2</v>
      </c>
      <c r="B60" s="11">
        <f t="shared" si="13"/>
        <v>101.95222474365384</v>
      </c>
      <c r="C60">
        <f t="shared" si="1"/>
        <v>101.955</v>
      </c>
      <c r="D60" s="11">
        <f t="shared" ref="D60:D67" si="27">B60-C60</f>
        <v>-2.7752563461547197E-3</v>
      </c>
      <c r="E60" s="8">
        <f t="shared" ref="E60:E67" si="28">D60/C60</f>
        <v>-2.7220404552544944E-5</v>
      </c>
      <c r="F60" s="13">
        <f t="shared" ref="F60:F67" si="29">-100/(1+A60)^6</f>
        <v>-85.83282543360427</v>
      </c>
      <c r="G60" s="13"/>
    </row>
    <row r="61" spans="1:7" x14ac:dyDescent="0.15">
      <c r="A61" s="8">
        <f t="shared" si="26"/>
        <v>2.5787522731921898E-2</v>
      </c>
      <c r="B61" s="11">
        <f t="shared" si="13"/>
        <v>101.9526159263082</v>
      </c>
      <c r="C61">
        <f t="shared" si="1"/>
        <v>101.955</v>
      </c>
      <c r="D61" s="11">
        <f t="shared" si="27"/>
        <v>-2.3840736918003813E-3</v>
      </c>
      <c r="E61" s="8">
        <f t="shared" si="28"/>
        <v>-2.3383587776964165E-5</v>
      </c>
      <c r="F61" s="13">
        <f t="shared" si="29"/>
        <v>-85.83324405506751</v>
      </c>
      <c r="G61" s="13"/>
    </row>
    <row r="62" spans="1:7" x14ac:dyDescent="0.15">
      <c r="A62" s="8">
        <f t="shared" si="26"/>
        <v>2.5786806466852358E-2</v>
      </c>
      <c r="B62" s="11">
        <f t="shared" si="13"/>
        <v>101.95295195930886</v>
      </c>
      <c r="C62">
        <f t="shared" si="1"/>
        <v>101.955</v>
      </c>
      <c r="D62" s="11">
        <f t="shared" si="27"/>
        <v>-2.048040691136066E-3</v>
      </c>
      <c r="E62" s="8">
        <f t="shared" si="28"/>
        <v>-2.0087692522544907E-5</v>
      </c>
      <c r="F62" s="13">
        <f t="shared" si="29"/>
        <v>-85.833603658806652</v>
      </c>
      <c r="G62" s="13"/>
    </row>
    <row r="63" spans="1:7" x14ac:dyDescent="0.15">
      <c r="A63" s="8">
        <f t="shared" si="26"/>
        <v>2.5786191178355927E-2</v>
      </c>
      <c r="B63" s="11">
        <f t="shared" si="13"/>
        <v>101.95324062064107</v>
      </c>
      <c r="C63">
        <f t="shared" si="1"/>
        <v>101.955</v>
      </c>
      <c r="D63" s="11">
        <f t="shared" si="27"/>
        <v>-1.7593793589298912E-3</v>
      </c>
      <c r="E63" s="8">
        <f t="shared" si="28"/>
        <v>-1.7256430375458696E-5</v>
      </c>
      <c r="F63" s="13">
        <f t="shared" si="29"/>
        <v>-85.833912568257261</v>
      </c>
      <c r="G63" s="13"/>
    </row>
    <row r="64" spans="1:7" x14ac:dyDescent="0.15">
      <c r="A64" s="8">
        <f t="shared" si="26"/>
        <v>2.5785662626281958E-2</v>
      </c>
      <c r="B64" s="11">
        <f t="shared" si="13"/>
        <v>101.95348859057249</v>
      </c>
      <c r="C64">
        <f t="shared" si="1"/>
        <v>101.955</v>
      </c>
      <c r="D64" s="11">
        <f t="shared" si="27"/>
        <v>-1.511409427507715E-3</v>
      </c>
      <c r="E64" s="8">
        <f t="shared" si="28"/>
        <v>-1.4824279608726547E-5</v>
      </c>
      <c r="F64" s="13">
        <f t="shared" si="29"/>
        <v>-85.834177932178335</v>
      </c>
      <c r="G64" s="13"/>
    </row>
    <row r="65" spans="1:7" x14ac:dyDescent="0.15">
      <c r="A65" s="8">
        <f t="shared" si="26"/>
        <v>2.5785208579950685E-2</v>
      </c>
      <c r="B65" s="11">
        <f t="shared" si="13"/>
        <v>101.95370160677354</v>
      </c>
      <c r="C65">
        <f t="shared" si="1"/>
        <v>101.955</v>
      </c>
      <c r="D65" s="11">
        <f t="shared" si="27"/>
        <v>-1.2983932264631903E-3</v>
      </c>
      <c r="E65" s="8">
        <f t="shared" si="28"/>
        <v>-1.2734963723831007E-5</v>
      </c>
      <c r="F65" s="13">
        <f t="shared" si="29"/>
        <v>-85.834405890642159</v>
      </c>
      <c r="G65" s="13"/>
    </row>
    <row r="66" spans="1:7" x14ac:dyDescent="0.15">
      <c r="A66" s="8">
        <f t="shared" si="26"/>
        <v>2.5784818534259617E-2</v>
      </c>
      <c r="B66" s="11">
        <f t="shared" si="13"/>
        <v>101.95388459746574</v>
      </c>
      <c r="C66">
        <f t="shared" si="1"/>
        <v>101.955</v>
      </c>
      <c r="D66" s="11">
        <f t="shared" si="27"/>
        <v>-1.1154025342534624E-3</v>
      </c>
      <c r="E66" s="8">
        <f t="shared" si="28"/>
        <v>-1.0940145498047789E-5</v>
      </c>
      <c r="F66" s="13">
        <f t="shared" si="29"/>
        <v>-85.834601717513777</v>
      </c>
      <c r="G66" s="13"/>
    </row>
    <row r="67" spans="1:7" x14ac:dyDescent="0.15">
      <c r="A67" s="8">
        <f t="shared" si="26"/>
        <v>2.5784483465984553E-2</v>
      </c>
      <c r="B67" s="11">
        <f t="shared" si="13"/>
        <v>101.95404179572353</v>
      </c>
      <c r="C67">
        <f t="shared" si="1"/>
        <v>101.955</v>
      </c>
      <c r="D67" s="11">
        <f t="shared" si="27"/>
        <v>-9.5820427647197448E-4</v>
      </c>
      <c r="E67" s="8">
        <f t="shared" si="28"/>
        <v>-9.3983058846743611E-6</v>
      </c>
      <c r="F67" s="13">
        <f t="shared" si="29"/>
        <v>-85.834769942765007</v>
      </c>
      <c r="G67" s="13"/>
    </row>
    <row r="68" spans="1:7" x14ac:dyDescent="0.15">
      <c r="A68" s="8">
        <f t="shared" ref="A68:A131" si="30">A67*(1-D67/F67)</f>
        <v>2.5784195624561548E-2</v>
      </c>
      <c r="B68" s="11">
        <f t="shared" si="13"/>
        <v>101.95417683760721</v>
      </c>
      <c r="C68">
        <f t="shared" si="1"/>
        <v>101.955</v>
      </c>
      <c r="D68" s="11">
        <f t="shared" ref="D68:D131" si="31">B68-C68</f>
        <v>-8.2316239279123238E-4</v>
      </c>
      <c r="E68" s="8">
        <f t="shared" ref="E68:E131" si="32">D68/C68</f>
        <v>-8.0737814995952367E-6</v>
      </c>
      <c r="F68" s="13">
        <f t="shared" ref="F68:F131" si="33">-100/(1+A68)^6</f>
        <v>-85.83491445748713</v>
      </c>
      <c r="G68" s="13"/>
    </row>
    <row r="69" spans="1:7" x14ac:dyDescent="0.15">
      <c r="A69" s="8">
        <f t="shared" si="30"/>
        <v>2.5783948352454379E-2</v>
      </c>
      <c r="B69" s="11">
        <f t="shared" si="13"/>
        <v>101.95429284642218</v>
      </c>
      <c r="C69">
        <f t="shared" si="1"/>
        <v>101.955</v>
      </c>
      <c r="D69" s="11">
        <f t="shared" si="31"/>
        <v>-7.0715357782091814E-4</v>
      </c>
      <c r="E69" s="8">
        <f t="shared" si="32"/>
        <v>-6.9359381866599786E-6</v>
      </c>
      <c r="F69" s="13">
        <f t="shared" si="33"/>
        <v>-85.835038604056109</v>
      </c>
      <c r="G69" s="13"/>
    </row>
    <row r="70" spans="1:7" x14ac:dyDescent="0.15">
      <c r="A70" s="8">
        <f t="shared" si="30"/>
        <v>2.5783735930911565E-2</v>
      </c>
      <c r="B70" s="11">
        <f t="shared" si="13"/>
        <v>101.95439250507037</v>
      </c>
      <c r="C70">
        <f t="shared" si="1"/>
        <v>101.955</v>
      </c>
      <c r="D70" s="11">
        <f t="shared" si="31"/>
        <v>-6.0749492962486329E-4</v>
      </c>
      <c r="E70" s="8">
        <f t="shared" si="32"/>
        <v>-5.9584613763411631E-6</v>
      </c>
      <c r="F70" s="13">
        <f t="shared" si="33"/>
        <v>-85.835145253558068</v>
      </c>
      <c r="G70" s="13"/>
    </row>
    <row r="71" spans="1:7" x14ac:dyDescent="0.15">
      <c r="A71" s="8">
        <f t="shared" si="30"/>
        <v>2.5783553447515067E-2</v>
      </c>
      <c r="B71" s="11">
        <f t="shared" si="13"/>
        <v>101.95447811818177</v>
      </c>
      <c r="C71">
        <f t="shared" si="1"/>
        <v>101.955</v>
      </c>
      <c r="D71" s="11">
        <f t="shared" si="31"/>
        <v>-5.2188181822998558E-4</v>
      </c>
      <c r="E71" s="8">
        <f t="shared" si="32"/>
        <v>-5.1187466846156203E-6</v>
      </c>
      <c r="F71" s="13">
        <f t="shared" si="33"/>
        <v>-85.83523687227688</v>
      </c>
      <c r="G71" s="13"/>
    </row>
    <row r="72" spans="1:7" x14ac:dyDescent="0.15">
      <c r="A72" s="8">
        <f t="shared" si="30"/>
        <v>2.578339668243532E-2</v>
      </c>
      <c r="B72" s="11">
        <f t="shared" si="13"/>
        <v>101.9545516654718</v>
      </c>
      <c r="C72">
        <f t="shared" si="1"/>
        <v>101.955</v>
      </c>
      <c r="D72" s="11">
        <f t="shared" si="31"/>
        <v>-4.4833452820114417E-4</v>
      </c>
      <c r="E72" s="8">
        <f t="shared" si="32"/>
        <v>-4.3973765700666386E-6</v>
      </c>
      <c r="F72" s="13">
        <f t="shared" si="33"/>
        <v>-85.835315578792972</v>
      </c>
      <c r="G72" s="13"/>
    </row>
    <row r="73" spans="1:7" x14ac:dyDescent="0.15">
      <c r="A73" s="8">
        <f t="shared" si="30"/>
        <v>2.5783262010745597E-2</v>
      </c>
      <c r="B73" s="11">
        <f t="shared" si="13"/>
        <v>101.95461484756645</v>
      </c>
      <c r="C73">
        <f t="shared" si="1"/>
        <v>101.955</v>
      </c>
      <c r="D73" s="11">
        <f t="shared" si="31"/>
        <v>-3.8515243355163875E-4</v>
      </c>
      <c r="E73" s="8">
        <f t="shared" si="32"/>
        <v>-3.7776708700077362E-6</v>
      </c>
      <c r="F73" s="13">
        <f t="shared" si="33"/>
        <v>-85.835383193022167</v>
      </c>
      <c r="G73" s="13"/>
    </row>
    <row r="74" spans="1:7" x14ac:dyDescent="0.15">
      <c r="A74" s="8">
        <f t="shared" si="30"/>
        <v>2.5783146318524758E-2</v>
      </c>
      <c r="B74" s="11">
        <f t="shared" si="13"/>
        <v>101.9546691253594</v>
      </c>
      <c r="C74">
        <f t="shared" si="1"/>
        <v>101.955</v>
      </c>
      <c r="D74" s="11">
        <f t="shared" si="31"/>
        <v>-3.3087464059633476E-4</v>
      </c>
      <c r="E74" s="8">
        <f t="shared" si="32"/>
        <v>-3.2453007757965257E-6</v>
      </c>
      <c r="F74" s="13">
        <f t="shared" si="33"/>
        <v>-85.835441278333576</v>
      </c>
      <c r="G74" s="13"/>
    </row>
    <row r="75" spans="1:7" x14ac:dyDescent="0.15">
      <c r="A75" s="8">
        <f t="shared" si="30"/>
        <v>2.578304693079931E-2</v>
      </c>
      <c r="B75" s="11">
        <f t="shared" si="13"/>
        <v>101.95471575381612</v>
      </c>
      <c r="C75">
        <f t="shared" si="1"/>
        <v>101.955</v>
      </c>
      <c r="D75" s="11">
        <f t="shared" si="31"/>
        <v>-2.8424618388100953E-4</v>
      </c>
      <c r="E75" s="8">
        <f t="shared" si="32"/>
        <v>-2.7879572741014128E-6</v>
      </c>
      <c r="F75" s="13">
        <f t="shared" si="33"/>
        <v>-85.835491177723284</v>
      </c>
      <c r="G75" s="13"/>
    </row>
    <row r="76" spans="1:7" x14ac:dyDescent="0.15">
      <c r="A76" s="8">
        <f t="shared" si="30"/>
        <v>2.5782961549652206E-2</v>
      </c>
      <c r="B76" s="11">
        <f t="shared" si="13"/>
        <v>101.95475581100843</v>
      </c>
      <c r="C76">
        <f t="shared" si="1"/>
        <v>101.955</v>
      </c>
      <c r="D76" s="11">
        <f t="shared" si="31"/>
        <v>-2.4418899157296892E-4</v>
      </c>
      <c r="E76" s="8">
        <f t="shared" si="32"/>
        <v>-2.3950663682307776E-6</v>
      </c>
      <c r="F76" s="13">
        <f t="shared" si="33"/>
        <v>-85.83553404488616</v>
      </c>
      <c r="G76" s="13"/>
    </row>
    <row r="77" spans="1:7" x14ac:dyDescent="0.15">
      <c r="A77" s="8">
        <f t="shared" si="30"/>
        <v>2.5782888201062362E-2</v>
      </c>
      <c r="B77" s="11">
        <f t="shared" si="13"/>
        <v>101.95479022305378</v>
      </c>
      <c r="C77">
        <f t="shared" si="1"/>
        <v>101.955</v>
      </c>
      <c r="D77" s="11">
        <f t="shared" si="31"/>
        <v>-2.0977694622104082E-4</v>
      </c>
      <c r="E77" s="8">
        <f t="shared" si="32"/>
        <v>-2.0575444678636736E-6</v>
      </c>
      <c r="F77" s="13">
        <f t="shared" si="33"/>
        <v>-85.835570870904135</v>
      </c>
      <c r="G77" s="13"/>
    </row>
    <row r="78" spans="1:7" x14ac:dyDescent="0.15">
      <c r="A78" s="8">
        <f t="shared" si="30"/>
        <v>2.5782825189242242E-2</v>
      </c>
      <c r="B78" s="11">
        <f t="shared" si="13"/>
        <v>101.95481978553704</v>
      </c>
      <c r="C78">
        <f t="shared" si="1"/>
        <v>101.955</v>
      </c>
      <c r="D78" s="11">
        <f t="shared" si="31"/>
        <v>-1.8021446295790611E-4</v>
      </c>
      <c r="E78" s="8">
        <f t="shared" si="32"/>
        <v>-1.7675882787298917E-6</v>
      </c>
      <c r="F78" s="13">
        <f t="shared" si="33"/>
        <v>-85.835602507170108</v>
      </c>
      <c r="G78" s="13"/>
    </row>
    <row r="79" spans="1:7" x14ac:dyDescent="0.15">
      <c r="A79" s="8">
        <f t="shared" si="30"/>
        <v>2.5782771057415131E-2</v>
      </c>
      <c r="B79" s="11">
        <f t="shared" si="13"/>
        <v>101.95484518191137</v>
      </c>
      <c r="C79">
        <f t="shared" si="1"/>
        <v>101.955</v>
      </c>
      <c r="D79" s="11">
        <f t="shared" si="31"/>
        <v>-1.5481808863171409E-4</v>
      </c>
      <c r="E79" s="8">
        <f t="shared" si="32"/>
        <v>-1.5184943223158657E-6</v>
      </c>
      <c r="F79" s="13">
        <f t="shared" si="33"/>
        <v>-85.835629685079923</v>
      </c>
      <c r="G79" s="13"/>
    </row>
    <row r="80" spans="1:7" x14ac:dyDescent="0.15">
      <c r="A80" s="8">
        <f t="shared" si="30"/>
        <v>2.5782724554123324E-2</v>
      </c>
      <c r="B80" s="11">
        <f t="shared" si="13"/>
        <v>101.95486699930437</v>
      </c>
      <c r="C80">
        <f t="shared" si="1"/>
        <v>101.955</v>
      </c>
      <c r="D80" s="11">
        <f t="shared" si="31"/>
        <v>-1.330006956266061E-4</v>
      </c>
      <c r="E80" s="8">
        <f t="shared" si="32"/>
        <v>-1.3045039049247816E-6</v>
      </c>
      <c r="F80" s="13">
        <f t="shared" si="33"/>
        <v>-85.835653032947022</v>
      </c>
      <c r="G80" s="13"/>
    </row>
    <row r="81" spans="1:7" x14ac:dyDescent="0.15">
      <c r="A81" s="8">
        <f t="shared" si="30"/>
        <v>2.5782684604286867E-2</v>
      </c>
      <c r="B81" s="11">
        <f t="shared" si="13"/>
        <v>101.9548857420958</v>
      </c>
      <c r="C81">
        <f t="shared" si="1"/>
        <v>101.955</v>
      </c>
      <c r="D81" s="11">
        <f t="shared" si="31"/>
        <v>-1.1425790420105386E-4</v>
      </c>
      <c r="E81" s="8">
        <f t="shared" si="32"/>
        <v>-1.1206699445937313E-6</v>
      </c>
      <c r="F81" s="13">
        <f t="shared" si="33"/>
        <v>-85.835673090532495</v>
      </c>
      <c r="G81" s="13"/>
    </row>
    <row r="82" spans="1:7" x14ac:dyDescent="0.15">
      <c r="A82" s="8">
        <f t="shared" si="30"/>
        <v>2.5782650284342706E-2</v>
      </c>
      <c r="B82" s="11">
        <f t="shared" si="13"/>
        <v>101.9549018435808</v>
      </c>
      <c r="C82">
        <f t="shared" si="1"/>
        <v>101.955</v>
      </c>
      <c r="D82" s="11">
        <f t="shared" si="31"/>
        <v>-9.8156419198858202E-5</v>
      </c>
      <c r="E82" s="8">
        <f t="shared" si="32"/>
        <v>-9.6274257465409448E-7</v>
      </c>
      <c r="F82" s="13">
        <f t="shared" si="33"/>
        <v>-85.835690321526272</v>
      </c>
      <c r="G82" s="13"/>
    </row>
    <row r="83" spans="1:7" x14ac:dyDescent="0.15">
      <c r="A83" s="8">
        <f t="shared" si="30"/>
        <v>2.5782620800888681E-2</v>
      </c>
      <c r="B83" s="11">
        <f t="shared" si="13"/>
        <v>101.95491567598906</v>
      </c>
      <c r="C83">
        <f t="shared" ref="C83:C146" si="34">$C$16</f>
        <v>101.955</v>
      </c>
      <c r="D83" s="11">
        <f t="shared" si="31"/>
        <v>-8.432401094182751E-5</v>
      </c>
      <c r="E83" s="8">
        <f t="shared" si="32"/>
        <v>-8.2707087383480465E-7</v>
      </c>
      <c r="F83" s="13">
        <f t="shared" si="33"/>
        <v>-85.835705124269666</v>
      </c>
      <c r="G83" s="13"/>
    </row>
    <row r="84" spans="1:7" x14ac:dyDescent="0.15">
      <c r="A84" s="8">
        <f t="shared" si="30"/>
        <v>2.5782595472338105E-2</v>
      </c>
      <c r="B84" s="11">
        <f t="shared" ref="B84:B147" si="35">ABS(PV(A84,5,3,100))</f>
        <v>101.9549275590916</v>
      </c>
      <c r="C84">
        <f t="shared" si="34"/>
        <v>101.955</v>
      </c>
      <c r="D84" s="11">
        <f t="shared" si="31"/>
        <v>-7.2440908397197745E-5</v>
      </c>
      <c r="E84" s="8">
        <f t="shared" si="32"/>
        <v>-7.1051844830756457E-7</v>
      </c>
      <c r="F84" s="13">
        <f t="shared" si="33"/>
        <v>-85.835717840965032</v>
      </c>
      <c r="G84" s="13"/>
    </row>
    <row r="85" spans="1:7" x14ac:dyDescent="0.15">
      <c r="A85" s="8">
        <f t="shared" si="30"/>
        <v>2.5782573713160412E-2</v>
      </c>
      <c r="B85" s="11">
        <f t="shared" si="35"/>
        <v>101.95493776759423</v>
      </c>
      <c r="C85">
        <f t="shared" si="34"/>
        <v>101.955</v>
      </c>
      <c r="D85" s="11">
        <f t="shared" si="31"/>
        <v>-6.2232405767304044E-5</v>
      </c>
      <c r="E85" s="8">
        <f t="shared" si="32"/>
        <v>-6.1039091527932953E-7</v>
      </c>
      <c r="F85" s="13">
        <f t="shared" si="33"/>
        <v>-85.835728765588456</v>
      </c>
      <c r="G85" s="13"/>
    </row>
    <row r="86" spans="1:7" x14ac:dyDescent="0.15">
      <c r="A86" s="8">
        <f t="shared" si="30"/>
        <v>2.5782555020343188E-2</v>
      </c>
      <c r="B86" s="11">
        <f t="shared" si="35"/>
        <v>101.95494653748885</v>
      </c>
      <c r="C86">
        <f t="shared" si="34"/>
        <v>101.955</v>
      </c>
      <c r="D86" s="11">
        <f t="shared" si="31"/>
        <v>-5.3462511147017722E-5</v>
      </c>
      <c r="E86" s="8">
        <f t="shared" si="32"/>
        <v>-5.2437360744463458E-7</v>
      </c>
      <c r="F86" s="13">
        <f t="shared" si="33"/>
        <v>-85.835738150686694</v>
      </c>
      <c r="G86" s="13"/>
    </row>
    <row r="87" spans="1:7" x14ac:dyDescent="0.15">
      <c r="A87" s="8">
        <f t="shared" si="30"/>
        <v>2.5782538961762403E-2</v>
      </c>
      <c r="B87" s="11">
        <f t="shared" si="35"/>
        <v>101.95495407150972</v>
      </c>
      <c r="C87">
        <f t="shared" si="34"/>
        <v>101.955</v>
      </c>
      <c r="D87" s="11">
        <f t="shared" si="31"/>
        <v>-4.5928490280289225E-5</v>
      </c>
      <c r="E87" s="8">
        <f t="shared" si="32"/>
        <v>-4.5047805679259698E-7</v>
      </c>
      <c r="F87" s="13">
        <f t="shared" si="33"/>
        <v>-85.835746213215444</v>
      </c>
      <c r="G87" s="13"/>
    </row>
    <row r="88" spans="1:7" x14ac:dyDescent="0.15">
      <c r="A88" s="8">
        <f t="shared" si="30"/>
        <v>2.5782525166191884E-2</v>
      </c>
      <c r="B88" s="11">
        <f t="shared" si="35"/>
        <v>101.9549605438205</v>
      </c>
      <c r="C88">
        <f t="shared" si="34"/>
        <v>101.955</v>
      </c>
      <c r="D88" s="11">
        <f t="shared" si="31"/>
        <v>-3.9456179493413401E-5</v>
      </c>
      <c r="E88" s="8">
        <f t="shared" si="32"/>
        <v>-3.8699602269053406E-7</v>
      </c>
      <c r="F88" s="13">
        <f t="shared" si="33"/>
        <v>-85.835753139555635</v>
      </c>
      <c r="G88" s="13"/>
    </row>
    <row r="89" spans="1:7" x14ac:dyDescent="0.15">
      <c r="A89" s="8">
        <f t="shared" si="30"/>
        <v>2.5782513314720864E-2</v>
      </c>
      <c r="B89" s="11">
        <f t="shared" si="35"/>
        <v>101.95496610404065</v>
      </c>
      <c r="C89">
        <f t="shared" si="34"/>
        <v>101.955</v>
      </c>
      <c r="D89" s="11">
        <f t="shared" si="31"/>
        <v>-3.3895959347773896E-5</v>
      </c>
      <c r="E89" s="8">
        <f t="shared" si="32"/>
        <v>-3.3246000046857826E-7</v>
      </c>
      <c r="F89" s="13">
        <f t="shared" si="33"/>
        <v>-85.835759089822574</v>
      </c>
      <c r="G89" s="13"/>
    </row>
    <row r="90" spans="1:7" x14ac:dyDescent="0.15">
      <c r="A90" s="8">
        <f t="shared" si="30"/>
        <v>2.5782503133381148E-2</v>
      </c>
      <c r="B90" s="11">
        <f t="shared" si="35"/>
        <v>101.95497088070455</v>
      </c>
      <c r="C90">
        <f t="shared" si="34"/>
        <v>101.955</v>
      </c>
      <c r="D90" s="11">
        <f t="shared" si="31"/>
        <v>-2.9119295447799232E-5</v>
      </c>
      <c r="E90" s="8">
        <f t="shared" si="32"/>
        <v>-2.8560929280368037E-7</v>
      </c>
      <c r="F90" s="13">
        <f t="shared" si="33"/>
        <v>-85.835764201567287</v>
      </c>
      <c r="G90" s="13"/>
    </row>
    <row r="91" spans="1:7" x14ac:dyDescent="0.15">
      <c r="A91" s="8">
        <f t="shared" si="30"/>
        <v>2.5782494386813407E-2</v>
      </c>
      <c r="B91" s="11">
        <f t="shared" si="35"/>
        <v>101.95497498423295</v>
      </c>
      <c r="C91">
        <f t="shared" si="34"/>
        <v>101.955</v>
      </c>
      <c r="D91" s="11">
        <f t="shared" si="31"/>
        <v>-2.5015767050717841E-5</v>
      </c>
      <c r="E91" s="8">
        <f t="shared" si="32"/>
        <v>-2.453608655849918E-7</v>
      </c>
      <c r="F91" s="13">
        <f t="shared" si="33"/>
        <v>-85.835768592956356</v>
      </c>
      <c r="G91" s="13"/>
    </row>
    <row r="92" spans="1:7" x14ac:dyDescent="0.15">
      <c r="A92" s="8">
        <f t="shared" si="30"/>
        <v>2.5782486872826124E-2</v>
      </c>
      <c r="B92" s="11">
        <f t="shared" si="35"/>
        <v>101.95497850948564</v>
      </c>
      <c r="C92">
        <f t="shared" si="34"/>
        <v>101.955</v>
      </c>
      <c r="D92" s="11">
        <f t="shared" si="31"/>
        <v>-2.1490514356514723E-5</v>
      </c>
      <c r="E92" s="8">
        <f t="shared" si="32"/>
        <v>-2.1078431029880559E-7</v>
      </c>
      <c r="F92" s="13">
        <f t="shared" si="33"/>
        <v>-85.835772365504056</v>
      </c>
      <c r="G92" s="13"/>
    </row>
    <row r="93" spans="1:7" x14ac:dyDescent="0.15">
      <c r="A93" s="8">
        <f t="shared" si="30"/>
        <v>2.5782480417721347E-2</v>
      </c>
      <c r="B93" s="11">
        <f t="shared" si="35"/>
        <v>101.95498153795451</v>
      </c>
      <c r="C93">
        <f t="shared" si="34"/>
        <v>101.955</v>
      </c>
      <c r="D93" s="11">
        <f t="shared" si="31"/>
        <v>-1.8462045488831791E-5</v>
      </c>
      <c r="E93" s="8">
        <f t="shared" si="32"/>
        <v>-1.8108033435174136E-7</v>
      </c>
      <c r="F93" s="13">
        <f t="shared" si="33"/>
        <v>-85.835775606418693</v>
      </c>
      <c r="G93" s="13"/>
    </row>
    <row r="94" spans="1:7" x14ac:dyDescent="0.15">
      <c r="A94" s="8">
        <f t="shared" si="30"/>
        <v>2.5782474872279217E-2</v>
      </c>
      <c r="B94" s="11">
        <f t="shared" si="35"/>
        <v>101.95498413964728</v>
      </c>
      <c r="C94">
        <f t="shared" si="34"/>
        <v>101.955</v>
      </c>
      <c r="D94" s="11">
        <f t="shared" si="31"/>
        <v>-1.5860352718277682E-5</v>
      </c>
      <c r="E94" s="8">
        <f t="shared" si="32"/>
        <v>-1.5556228452040293E-7</v>
      </c>
      <c r="F94" s="13">
        <f t="shared" si="33"/>
        <v>-85.835778390619126</v>
      </c>
      <c r="G94" s="13"/>
    </row>
    <row r="95" spans="1:7" x14ac:dyDescent="0.15">
      <c r="A95" s="8">
        <f t="shared" si="30"/>
        <v>2.5782470108308374E-2</v>
      </c>
      <c r="B95" s="11">
        <f t="shared" si="35"/>
        <v>101.95498637470602</v>
      </c>
      <c r="C95">
        <f t="shared" si="34"/>
        <v>101.955</v>
      </c>
      <c r="D95" s="11">
        <f t="shared" si="31"/>
        <v>-1.3625293973973385E-5</v>
      </c>
      <c r="E95" s="8">
        <f t="shared" si="32"/>
        <v>-1.3364027241403937E-7</v>
      </c>
      <c r="F95" s="13">
        <f t="shared" si="33"/>
        <v>-85.83578078246623</v>
      </c>
      <c r="G95" s="13"/>
    </row>
    <row r="96" spans="1:7" x14ac:dyDescent="0.15">
      <c r="A96" s="8">
        <f t="shared" si="30"/>
        <v>2.5782466015682532E-2</v>
      </c>
      <c r="B96" s="11">
        <f t="shared" si="35"/>
        <v>101.95498829479739</v>
      </c>
      <c r="C96">
        <f t="shared" si="34"/>
        <v>101.955</v>
      </c>
      <c r="D96" s="11">
        <f t="shared" si="31"/>
        <v>-1.170520260984631E-5</v>
      </c>
      <c r="E96" s="8">
        <f t="shared" si="32"/>
        <v>-1.1480753871655447E-7</v>
      </c>
      <c r="F96" s="13">
        <f t="shared" si="33"/>
        <v>-85.835782837251315</v>
      </c>
      <c r="G96" s="13"/>
    </row>
    <row r="97" spans="1:7" x14ac:dyDescent="0.15">
      <c r="A97" s="8">
        <f t="shared" si="30"/>
        <v>2.5782462499794653E-2</v>
      </c>
      <c r="B97" s="11">
        <f t="shared" si="35"/>
        <v>101.95498994430712</v>
      </c>
      <c r="C97">
        <f t="shared" si="34"/>
        <v>101.955</v>
      </c>
      <c r="D97" s="11">
        <f t="shared" si="31"/>
        <v>-1.0055692882815492E-5</v>
      </c>
      <c r="E97" s="8">
        <f t="shared" si="32"/>
        <v>-9.8628737019425167E-8</v>
      </c>
      <c r="F97" s="13">
        <f t="shared" si="33"/>
        <v>-85.835784602473467</v>
      </c>
      <c r="G97" s="13"/>
    </row>
    <row r="98" spans="1:7" x14ac:dyDescent="0.15">
      <c r="A98" s="8">
        <f t="shared" si="30"/>
        <v>2.5782459479369944E-2</v>
      </c>
      <c r="B98" s="11">
        <f t="shared" si="35"/>
        <v>101.95499136136597</v>
      </c>
      <c r="C98">
        <f t="shared" si="34"/>
        <v>101.955</v>
      </c>
      <c r="D98" s="11">
        <f t="shared" si="31"/>
        <v>-8.638634028557135E-6</v>
      </c>
      <c r="E98" s="8">
        <f t="shared" si="32"/>
        <v>-8.4729871301624595E-8</v>
      </c>
      <c r="F98" s="13">
        <f t="shared" si="33"/>
        <v>-85.835786118938458</v>
      </c>
      <c r="G98" s="13"/>
    </row>
    <row r="99" spans="1:7" x14ac:dyDescent="0.15">
      <c r="A99" s="8">
        <f t="shared" si="30"/>
        <v>2.5782456884587024E-2</v>
      </c>
      <c r="B99" s="11">
        <f t="shared" si="35"/>
        <v>101.95499257873125</v>
      </c>
      <c r="C99">
        <f t="shared" si="34"/>
        <v>101.955</v>
      </c>
      <c r="D99" s="11">
        <f t="shared" si="31"/>
        <v>-7.4212687479757733E-6</v>
      </c>
      <c r="E99" s="8">
        <f t="shared" si="32"/>
        <v>-7.2789649825665961E-8</v>
      </c>
      <c r="F99" s="13">
        <f t="shared" si="33"/>
        <v>-85.835787421701397</v>
      </c>
      <c r="G99" s="13"/>
    </row>
    <row r="100" spans="1:7" x14ac:dyDescent="0.15">
      <c r="A100" s="8">
        <f t="shared" si="30"/>
        <v>2.5782454655463867E-2</v>
      </c>
      <c r="B100" s="11">
        <f t="shared" si="35"/>
        <v>101.95499362454404</v>
      </c>
      <c r="C100">
        <f t="shared" si="34"/>
        <v>101.955</v>
      </c>
      <c r="D100" s="11">
        <f t="shared" si="31"/>
        <v>-6.3754559533890642E-6</v>
      </c>
      <c r="E100" s="8">
        <f t="shared" si="32"/>
        <v>-6.2532057803825852E-8</v>
      </c>
      <c r="F100" s="13">
        <f t="shared" si="33"/>
        <v>-85.835788540877516</v>
      </c>
      <c r="G100" s="13"/>
    </row>
    <row r="101" spans="1:7" x14ac:dyDescent="0.15">
      <c r="A101" s="8">
        <f t="shared" si="30"/>
        <v>2.578245274047122E-2</v>
      </c>
      <c r="B101" s="11">
        <f t="shared" si="35"/>
        <v>101.95499452297975</v>
      </c>
      <c r="C101">
        <f t="shared" si="34"/>
        <v>101.955</v>
      </c>
      <c r="D101" s="11">
        <f t="shared" si="31"/>
        <v>-5.4770202524423439E-6</v>
      </c>
      <c r="E101" s="8">
        <f t="shared" si="32"/>
        <v>-5.3719976974570585E-8</v>
      </c>
      <c r="F101" s="13">
        <f t="shared" si="33"/>
        <v>-85.835789502338088</v>
      </c>
      <c r="G101" s="13"/>
    </row>
    <row r="102" spans="1:7" x14ac:dyDescent="0.15">
      <c r="A102" s="8">
        <f t="shared" si="30"/>
        <v>2.5782451095341413E-2</v>
      </c>
      <c r="B102" s="11">
        <f t="shared" si="35"/>
        <v>101.95499529480693</v>
      </c>
      <c r="C102">
        <f t="shared" si="34"/>
        <v>101.955</v>
      </c>
      <c r="D102" s="11">
        <f t="shared" si="31"/>
        <v>-4.7051930636143879E-6</v>
      </c>
      <c r="E102" s="8">
        <f t="shared" si="32"/>
        <v>-4.6149703924421438E-8</v>
      </c>
      <c r="F102" s="13">
        <f t="shared" si="33"/>
        <v>-85.835790328308661</v>
      </c>
      <c r="G102" s="13"/>
    </row>
    <row r="103" spans="1:7" x14ac:dyDescent="0.15">
      <c r="A103" s="8">
        <f t="shared" si="30"/>
        <v>2.5782449682045055E-2</v>
      </c>
      <c r="B103" s="11">
        <f t="shared" si="35"/>
        <v>101.9549959578674</v>
      </c>
      <c r="C103">
        <f t="shared" si="34"/>
        <v>101.955</v>
      </c>
      <c r="D103" s="11">
        <f t="shared" si="31"/>
        <v>-4.0421326019668413E-6</v>
      </c>
      <c r="E103" s="8">
        <f t="shared" si="32"/>
        <v>-3.9646241988787614E-8</v>
      </c>
      <c r="F103" s="13">
        <f t="shared" si="33"/>
        <v>-85.835791037882601</v>
      </c>
      <c r="G103" s="13"/>
    </row>
    <row r="104" spans="1:7" x14ac:dyDescent="0.15">
      <c r="A104" s="8">
        <f t="shared" si="30"/>
        <v>2.5782448467911893E-2</v>
      </c>
      <c r="B104" s="11">
        <f t="shared" si="35"/>
        <v>101.9549965274887</v>
      </c>
      <c r="C104">
        <f t="shared" si="34"/>
        <v>101.955</v>
      </c>
      <c r="D104" s="11">
        <f t="shared" si="31"/>
        <v>-3.4725112953992721E-6</v>
      </c>
      <c r="E104" s="8">
        <f t="shared" si="32"/>
        <v>-3.4059254527970892E-8</v>
      </c>
      <c r="F104" s="13">
        <f t="shared" si="33"/>
        <v>-85.835791647462642</v>
      </c>
      <c r="G104" s="13"/>
    </row>
    <row r="105" spans="1:7" x14ac:dyDescent="0.15">
      <c r="A105" s="8">
        <f t="shared" si="30"/>
        <v>2.5782447424875628E-2</v>
      </c>
      <c r="B105" s="11">
        <f t="shared" si="35"/>
        <v>101.95499701683839</v>
      </c>
      <c r="C105">
        <f t="shared" si="34"/>
        <v>101.955</v>
      </c>
      <c r="D105" s="11">
        <f t="shared" si="31"/>
        <v>-2.9831616075171041E-6</v>
      </c>
      <c r="E105" s="8">
        <f t="shared" si="32"/>
        <v>-2.9259591069757286E-8</v>
      </c>
      <c r="F105" s="13">
        <f t="shared" si="33"/>
        <v>-85.835792171140056</v>
      </c>
      <c r="G105" s="13"/>
    </row>
    <row r="106" spans="1:7" x14ac:dyDescent="0.15">
      <c r="A106" s="8">
        <f t="shared" si="30"/>
        <v>2.5782446528825095E-2</v>
      </c>
      <c r="B106" s="11">
        <f t="shared" si="35"/>
        <v>101.95499743722841</v>
      </c>
      <c r="C106">
        <f t="shared" si="34"/>
        <v>101.955</v>
      </c>
      <c r="D106" s="11">
        <f t="shared" si="31"/>
        <v>-2.562771584280199E-6</v>
      </c>
      <c r="E106" s="8">
        <f t="shared" si="32"/>
        <v>-2.5136301155217488E-8</v>
      </c>
      <c r="F106" s="13">
        <f t="shared" si="33"/>
        <v>-85.835792621020317</v>
      </c>
      <c r="G106" s="13"/>
    </row>
    <row r="107" spans="1:7" x14ac:dyDescent="0.15">
      <c r="A107" s="8">
        <f t="shared" si="30"/>
        <v>2.5782445759046903E-2</v>
      </c>
      <c r="B107" s="11">
        <f t="shared" si="35"/>
        <v>101.95499779837668</v>
      </c>
      <c r="C107">
        <f t="shared" si="34"/>
        <v>101.955</v>
      </c>
      <c r="D107" s="11">
        <f t="shared" si="31"/>
        <v>-2.2016233174326771E-6</v>
      </c>
      <c r="E107" s="8">
        <f t="shared" si="32"/>
        <v>-2.1594069122972657E-8</v>
      </c>
      <c r="F107" s="13">
        <f t="shared" si="33"/>
        <v>-85.835793007502858</v>
      </c>
      <c r="G107" s="13"/>
    </row>
    <row r="108" spans="1:7" x14ac:dyDescent="0.15">
      <c r="A108" s="8">
        <f t="shared" si="30"/>
        <v>2.5782445097746624E-2</v>
      </c>
      <c r="B108" s="11">
        <f t="shared" si="35"/>
        <v>101.95499810863156</v>
      </c>
      <c r="C108">
        <f t="shared" si="34"/>
        <v>101.955</v>
      </c>
      <c r="D108" s="11">
        <f t="shared" si="31"/>
        <v>-1.8913684414201271E-6</v>
      </c>
      <c r="E108" s="8">
        <f t="shared" si="32"/>
        <v>-1.8551012127116149E-8</v>
      </c>
      <c r="F108" s="13">
        <f t="shared" si="33"/>
        <v>-85.835793339522013</v>
      </c>
      <c r="G108" s="13"/>
    </row>
    <row r="109" spans="1:7" x14ac:dyDescent="0.15">
      <c r="A109" s="8">
        <f t="shared" si="30"/>
        <v>2.5782444529637436E-2</v>
      </c>
      <c r="B109" s="11">
        <f t="shared" si="35"/>
        <v>101.954998375165</v>
      </c>
      <c r="C109">
        <f t="shared" si="34"/>
        <v>101.955</v>
      </c>
      <c r="D109" s="11">
        <f t="shared" si="31"/>
        <v>-1.6248349936631712E-6</v>
      </c>
      <c r="E109" s="8">
        <f t="shared" si="32"/>
        <v>-1.5936785774735631E-8</v>
      </c>
      <c r="F109" s="13">
        <f t="shared" si="33"/>
        <v>-85.835793624752668</v>
      </c>
      <c r="G109" s="13"/>
    </row>
    <row r="110" spans="1:7" x14ac:dyDescent="0.15">
      <c r="A110" s="8">
        <f t="shared" si="30"/>
        <v>2.578244404158675E-2</v>
      </c>
      <c r="B110" s="11">
        <f t="shared" si="35"/>
        <v>101.95499860413831</v>
      </c>
      <c r="C110">
        <f t="shared" si="34"/>
        <v>101.955</v>
      </c>
      <c r="D110" s="11">
        <f t="shared" si="31"/>
        <v>-1.3958616875697771E-6</v>
      </c>
      <c r="E110" s="8">
        <f t="shared" si="32"/>
        <v>-1.3690958634395343E-8</v>
      </c>
      <c r="F110" s="13">
        <f t="shared" si="33"/>
        <v>-85.835793869788375</v>
      </c>
      <c r="G110" s="13"/>
    </row>
    <row r="111" spans="1:7" x14ac:dyDescent="0.15">
      <c r="A111" s="8">
        <f t="shared" si="30"/>
        <v>2.5782443622312641E-2</v>
      </c>
      <c r="B111" s="11">
        <f t="shared" si="35"/>
        <v>101.95499880084446</v>
      </c>
      <c r="C111">
        <f t="shared" si="34"/>
        <v>101.955</v>
      </c>
      <c r="D111" s="11">
        <f t="shared" si="31"/>
        <v>-1.199155533981866E-6</v>
      </c>
      <c r="E111" s="8">
        <f t="shared" si="32"/>
        <v>-1.1761615751869609E-8</v>
      </c>
      <c r="F111" s="13">
        <f t="shared" si="33"/>
        <v>-85.835794080293439</v>
      </c>
      <c r="G111" s="13"/>
    </row>
    <row r="112" spans="1:7" x14ac:dyDescent="0.15">
      <c r="A112" s="8">
        <f t="shared" si="30"/>
        <v>2.5782443262123048E-2</v>
      </c>
      <c r="B112" s="11">
        <f t="shared" si="35"/>
        <v>101.9549989698306</v>
      </c>
      <c r="C112">
        <f t="shared" si="34"/>
        <v>101.955</v>
      </c>
      <c r="D112" s="11">
        <f t="shared" si="31"/>
        <v>-1.0301694004510864E-6</v>
      </c>
      <c r="E112" s="8">
        <f t="shared" si="32"/>
        <v>-1.0104157721064061E-8</v>
      </c>
      <c r="F112" s="13">
        <f t="shared" si="33"/>
        <v>-85.835794261133913</v>
      </c>
      <c r="G112" s="13"/>
    </row>
    <row r="113" spans="1:7" x14ac:dyDescent="0.15">
      <c r="A113" s="8">
        <f t="shared" si="30"/>
        <v>2.5782442952691716E-2</v>
      </c>
      <c r="B113" s="11">
        <f t="shared" si="35"/>
        <v>101.95499911500303</v>
      </c>
      <c r="C113">
        <f t="shared" si="34"/>
        <v>101.955</v>
      </c>
      <c r="D113" s="11">
        <f t="shared" si="31"/>
        <v>-8.8499696460075938E-7</v>
      </c>
      <c r="E113" s="8">
        <f t="shared" si="32"/>
        <v>-8.6802703604605888E-9</v>
      </c>
      <c r="F113" s="13">
        <f t="shared" si="33"/>
        <v>-85.83579441649016</v>
      </c>
      <c r="G113" s="13"/>
    </row>
    <row r="114" spans="1:7" x14ac:dyDescent="0.15">
      <c r="A114" s="8">
        <f t="shared" si="30"/>
        <v>2.5782442686865744E-2</v>
      </c>
      <c r="B114" s="11">
        <f t="shared" si="35"/>
        <v>101.95499923971765</v>
      </c>
      <c r="C114">
        <f t="shared" si="34"/>
        <v>101.955</v>
      </c>
      <c r="D114" s="11">
        <f t="shared" si="31"/>
        <v>-7.6028234730074473E-7</v>
      </c>
      <c r="E114" s="8">
        <f t="shared" si="32"/>
        <v>-7.4570383728188393E-9</v>
      </c>
      <c r="F114" s="13">
        <f t="shared" si="33"/>
        <v>-85.835794549953405</v>
      </c>
      <c r="G114" s="13"/>
    </row>
    <row r="115" spans="1:7" x14ac:dyDescent="0.15">
      <c r="A115" s="8">
        <f t="shared" si="30"/>
        <v>2.578244245850022E-2</v>
      </c>
      <c r="B115" s="11">
        <f t="shared" si="35"/>
        <v>101.95499934685736</v>
      </c>
      <c r="C115">
        <f t="shared" si="34"/>
        <v>101.955</v>
      </c>
      <c r="D115" s="11">
        <f t="shared" si="31"/>
        <v>-6.5314263508753356E-7</v>
      </c>
      <c r="E115" s="8">
        <f t="shared" si="32"/>
        <v>-6.4061854258009279E-9</v>
      </c>
      <c r="F115" s="13">
        <f t="shared" si="33"/>
        <v>-85.835794664608898</v>
      </c>
      <c r="G115" s="13"/>
    </row>
    <row r="116" spans="1:7" x14ac:dyDescent="0.15">
      <c r="A116" s="8">
        <f t="shared" si="30"/>
        <v>2.5782442262316185E-2</v>
      </c>
      <c r="B116" s="11">
        <f t="shared" si="35"/>
        <v>101.95499943889884</v>
      </c>
      <c r="C116">
        <f t="shared" si="34"/>
        <v>101.955</v>
      </c>
      <c r="D116" s="11">
        <f t="shared" si="31"/>
        <v>-5.6110116020136047E-7</v>
      </c>
      <c r="E116" s="8">
        <f t="shared" si="32"/>
        <v>-5.5034197459797016E-9</v>
      </c>
      <c r="F116" s="13">
        <f t="shared" si="33"/>
        <v>-85.83579476310716</v>
      </c>
      <c r="G116" s="13"/>
    </row>
    <row r="117" spans="1:7" x14ac:dyDescent="0.15">
      <c r="A117" s="8">
        <f t="shared" si="30"/>
        <v>2.5782442093778592E-2</v>
      </c>
      <c r="B117" s="11">
        <f t="shared" si="35"/>
        <v>101.95499951796975</v>
      </c>
      <c r="C117">
        <f t="shared" si="34"/>
        <v>101.955</v>
      </c>
      <c r="D117" s="11">
        <f t="shared" si="31"/>
        <v>-4.8203024505255598E-7</v>
      </c>
      <c r="E117" s="8">
        <f t="shared" si="32"/>
        <v>-4.7278725423231428E-9</v>
      </c>
      <c r="F117" s="13">
        <f t="shared" si="33"/>
        <v>-85.835794847724756</v>
      </c>
      <c r="G117" s="13"/>
    </row>
    <row r="118" spans="1:7" x14ac:dyDescent="0.15">
      <c r="A118" s="8">
        <f t="shared" si="30"/>
        <v>2.5782441948991479E-2</v>
      </c>
      <c r="B118" s="11">
        <f t="shared" si="35"/>
        <v>101.95499958589791</v>
      </c>
      <c r="C118">
        <f t="shared" si="34"/>
        <v>101.955</v>
      </c>
      <c r="D118" s="11">
        <f t="shared" si="31"/>
        <v>-4.1410208950765082E-7</v>
      </c>
      <c r="E118" s="8">
        <f t="shared" si="32"/>
        <v>-4.0616162964803179E-9</v>
      </c>
      <c r="F118" s="13">
        <f t="shared" si="33"/>
        <v>-85.83579492041811</v>
      </c>
      <c r="G118" s="13"/>
    </row>
    <row r="119" spans="1:7" x14ac:dyDescent="0.15">
      <c r="A119" s="8">
        <f t="shared" si="30"/>
        <v>2.5782441824607902E-2</v>
      </c>
      <c r="B119" s="11">
        <f t="shared" si="35"/>
        <v>101.95499964425356</v>
      </c>
      <c r="C119">
        <f t="shared" si="34"/>
        <v>101.955</v>
      </c>
      <c r="D119" s="11">
        <f t="shared" si="31"/>
        <v>-3.557464367531793E-7</v>
      </c>
      <c r="E119" s="8">
        <f t="shared" si="32"/>
        <v>-3.4892495390434927E-9</v>
      </c>
      <c r="F119" s="13">
        <f t="shared" si="33"/>
        <v>-85.835794982867341</v>
      </c>
      <c r="G119" s="13"/>
    </row>
    <row r="120" spans="1:7" x14ac:dyDescent="0.15">
      <c r="A120" s="8">
        <f t="shared" si="30"/>
        <v>2.5782441717752576E-2</v>
      </c>
      <c r="B120" s="11">
        <f t="shared" si="35"/>
        <v>101.95499969438569</v>
      </c>
      <c r="C120">
        <f t="shared" si="34"/>
        <v>101.955</v>
      </c>
      <c r="D120" s="11">
        <f t="shared" si="31"/>
        <v>-3.0561430719444616E-7</v>
      </c>
      <c r="E120" s="8">
        <f t="shared" si="32"/>
        <v>-2.9975411426065045E-9</v>
      </c>
      <c r="F120" s="13">
        <f t="shared" si="33"/>
        <v>-85.835795036516217</v>
      </c>
      <c r="G120" s="13"/>
    </row>
    <row r="121" spans="1:7" x14ac:dyDescent="0.15">
      <c r="A121" s="8">
        <f t="shared" si="30"/>
        <v>2.5782441625955405E-2</v>
      </c>
      <c r="B121" s="11">
        <f t="shared" si="35"/>
        <v>101.95499973745314</v>
      </c>
      <c r="C121">
        <f t="shared" si="34"/>
        <v>101.955</v>
      </c>
      <c r="D121" s="11">
        <f t="shared" si="31"/>
        <v>-2.6254686247284553E-7</v>
      </c>
      <c r="E121" s="8">
        <f t="shared" si="32"/>
        <v>-2.5751249323019522E-9</v>
      </c>
      <c r="F121" s="13">
        <f t="shared" si="33"/>
        <v>-85.835795082604875</v>
      </c>
      <c r="G121" s="13"/>
    </row>
    <row r="122" spans="1:7" x14ac:dyDescent="0.15">
      <c r="A122" s="8">
        <f t="shared" si="30"/>
        <v>2.5782441547094376E-2</v>
      </c>
      <c r="B122" s="11">
        <f t="shared" si="35"/>
        <v>101.95499977445149</v>
      </c>
      <c r="C122">
        <f t="shared" si="34"/>
        <v>101.955</v>
      </c>
      <c r="D122" s="11">
        <f t="shared" si="31"/>
        <v>-2.2554850431788509E-7</v>
      </c>
      <c r="E122" s="8">
        <f t="shared" si="32"/>
        <v>-2.2122358326505332E-9</v>
      </c>
      <c r="F122" s="13">
        <f t="shared" si="33"/>
        <v>-85.835795122198618</v>
      </c>
      <c r="G122" s="13"/>
    </row>
    <row r="123" spans="1:7" x14ac:dyDescent="0.15">
      <c r="A123" s="8">
        <f t="shared" si="30"/>
        <v>2.5782441479346521E-2</v>
      </c>
      <c r="B123" s="11">
        <f t="shared" si="35"/>
        <v>101.954999806236</v>
      </c>
      <c r="C123">
        <f t="shared" si="34"/>
        <v>101.955</v>
      </c>
      <c r="D123" s="11">
        <f t="shared" si="31"/>
        <v>-1.9376399507109454E-7</v>
      </c>
      <c r="E123" s="8">
        <f t="shared" si="32"/>
        <v>-1.9004854599685601E-9</v>
      </c>
      <c r="F123" s="13">
        <f t="shared" si="33"/>
        <v>-85.835795156212754</v>
      </c>
      <c r="G123" s="13"/>
    </row>
    <row r="124" spans="1:7" x14ac:dyDescent="0.15">
      <c r="A124" s="8">
        <f t="shared" si="30"/>
        <v>2.5782441421145757E-2</v>
      </c>
      <c r="B124" s="11">
        <f t="shared" si="35"/>
        <v>101.95499983354139</v>
      </c>
      <c r="C124">
        <f t="shared" si="34"/>
        <v>101.955</v>
      </c>
      <c r="D124" s="11">
        <f t="shared" si="31"/>
        <v>-1.6645860512198851E-7</v>
      </c>
      <c r="E124" s="8">
        <f t="shared" si="32"/>
        <v>-1.6326674034818157E-9</v>
      </c>
      <c r="F124" s="13">
        <f t="shared" si="33"/>
        <v>-85.835795185433639</v>
      </c>
      <c r="G124" s="13"/>
    </row>
    <row r="125" spans="1:7" x14ac:dyDescent="0.15">
      <c r="A125" s="8">
        <f t="shared" si="30"/>
        <v>2.5782441371146693E-2</v>
      </c>
      <c r="B125" s="11">
        <f t="shared" si="35"/>
        <v>101.95499985699891</v>
      </c>
      <c r="C125">
        <f t="shared" si="34"/>
        <v>101.955</v>
      </c>
      <c r="D125" s="11">
        <f t="shared" si="31"/>
        <v>-1.4300108830411773E-7</v>
      </c>
      <c r="E125" s="8">
        <f t="shared" si="32"/>
        <v>-1.4025902437753688E-9</v>
      </c>
      <c r="F125" s="13">
        <f t="shared" si="33"/>
        <v>-85.835795210536702</v>
      </c>
      <c r="G125" s="13"/>
    </row>
    <row r="126" spans="1:7" x14ac:dyDescent="0.15">
      <c r="A126" s="8">
        <f t="shared" si="30"/>
        <v>2.5782441328193548E-2</v>
      </c>
      <c r="B126" s="11">
        <f t="shared" si="35"/>
        <v>101.95499987715075</v>
      </c>
      <c r="C126">
        <f t="shared" si="34"/>
        <v>101.955</v>
      </c>
      <c r="D126" s="11">
        <f t="shared" si="31"/>
        <v>-1.2284924366667838E-7</v>
      </c>
      <c r="E126" s="8">
        <f t="shared" si="32"/>
        <v>-1.204935939058196E-9</v>
      </c>
      <c r="F126" s="13">
        <f t="shared" si="33"/>
        <v>-85.835795232102228</v>
      </c>
      <c r="G126" s="13"/>
    </row>
    <row r="127" spans="1:7" x14ac:dyDescent="0.15">
      <c r="A127" s="8">
        <f t="shared" si="30"/>
        <v>2.5782441291293402E-2</v>
      </c>
      <c r="B127" s="11">
        <f t="shared" si="35"/>
        <v>101.95499989446279</v>
      </c>
      <c r="C127">
        <f t="shared" si="34"/>
        <v>101.955</v>
      </c>
      <c r="D127" s="11">
        <f t="shared" si="31"/>
        <v>-1.055372109703967E-7</v>
      </c>
      <c r="E127" s="8">
        <f t="shared" si="32"/>
        <v>-1.0351352162267344E-9</v>
      </c>
      <c r="F127" s="13">
        <f t="shared" si="33"/>
        <v>-85.835795250628621</v>
      </c>
      <c r="G127" s="13"/>
    </row>
    <row r="128" spans="1:7" x14ac:dyDescent="0.15">
      <c r="A128" s="8">
        <f t="shared" si="30"/>
        <v>2.578244125959326E-2</v>
      </c>
      <c r="B128" s="11">
        <f t="shared" si="35"/>
        <v>101.9549999093352</v>
      </c>
      <c r="C128">
        <f t="shared" si="34"/>
        <v>101.955</v>
      </c>
      <c r="D128" s="11">
        <f t="shared" si="31"/>
        <v>-9.0664798335637897E-8</v>
      </c>
      <c r="E128" s="8">
        <f t="shared" si="32"/>
        <v>-8.892628937829228E-10</v>
      </c>
      <c r="F128" s="13">
        <f t="shared" si="33"/>
        <v>-85.835795266544366</v>
      </c>
      <c r="G128" s="13"/>
    </row>
    <row r="129" spans="1:7" x14ac:dyDescent="0.15">
      <c r="A129" s="8">
        <f t="shared" si="30"/>
        <v>2.5782441232360332E-2</v>
      </c>
      <c r="B129" s="11">
        <f t="shared" si="35"/>
        <v>101.95499992211177</v>
      </c>
      <c r="C129">
        <f t="shared" si="34"/>
        <v>101.955</v>
      </c>
      <c r="D129" s="11">
        <f t="shared" si="31"/>
        <v>-7.7888230975986517E-8</v>
      </c>
      <c r="E129" s="8">
        <f t="shared" si="32"/>
        <v>-7.6394714311202512E-10</v>
      </c>
      <c r="F129" s="13">
        <f t="shared" si="33"/>
        <v>-85.83579528021717</v>
      </c>
      <c r="G129" s="13"/>
    </row>
    <row r="130" spans="1:7" x14ac:dyDescent="0.15">
      <c r="A130" s="8">
        <f t="shared" si="30"/>
        <v>2.5782441208965095E-2</v>
      </c>
      <c r="B130" s="11">
        <f t="shared" si="35"/>
        <v>101.95499993308783</v>
      </c>
      <c r="C130">
        <f t="shared" si="34"/>
        <v>101.955</v>
      </c>
      <c r="D130" s="11">
        <f t="shared" si="31"/>
        <v>-6.6912164697896515E-8</v>
      </c>
      <c r="E130" s="8">
        <f t="shared" si="32"/>
        <v>-6.5629115490065736E-10</v>
      </c>
      <c r="F130" s="13">
        <f t="shared" si="33"/>
        <v>-85.835795291963251</v>
      </c>
      <c r="G130" s="13"/>
    </row>
    <row r="131" spans="1:7" x14ac:dyDescent="0.15">
      <c r="A131" s="8">
        <f t="shared" si="30"/>
        <v>2.5782441188866731E-2</v>
      </c>
      <c r="B131" s="11">
        <f t="shared" si="35"/>
        <v>101.95499994251716</v>
      </c>
      <c r="C131">
        <f t="shared" si="34"/>
        <v>101.955</v>
      </c>
      <c r="D131" s="11">
        <f t="shared" si="31"/>
        <v>-5.7482836268718529E-8</v>
      </c>
      <c r="E131" s="8">
        <f t="shared" si="32"/>
        <v>-5.638059562426417E-10</v>
      </c>
      <c r="F131" s="13">
        <f t="shared" si="33"/>
        <v>-85.835795302054024</v>
      </c>
      <c r="G131" s="13"/>
    </row>
    <row r="132" spans="1:7" x14ac:dyDescent="0.15">
      <c r="A132" s="8">
        <f t="shared" ref="A132:A170" si="36">A131*(1-D131/F131)</f>
        <v>2.578244117160065E-2</v>
      </c>
      <c r="B132" s="11">
        <f t="shared" si="35"/>
        <v>101.95499995061769</v>
      </c>
      <c r="C132">
        <f t="shared" si="34"/>
        <v>101.955</v>
      </c>
      <c r="D132" s="11">
        <f t="shared" ref="D132:D170" si="37">B132-C132</f>
        <v>-4.9382308020540222E-8</v>
      </c>
      <c r="E132" s="8">
        <f t="shared" ref="E132:E170" si="38">D132/C132</f>
        <v>-4.8435396028189121E-10</v>
      </c>
      <c r="F132" s="13">
        <f t="shared" ref="F132:F170" si="39">-100/(1+A132)^6</f>
        <v>-85.835795310722872</v>
      </c>
      <c r="G132" s="13"/>
    </row>
    <row r="133" spans="1:7" x14ac:dyDescent="0.15">
      <c r="A133" s="8">
        <f t="shared" si="36"/>
        <v>2.578244115676772E-2</v>
      </c>
      <c r="B133" s="11">
        <f t="shared" si="35"/>
        <v>101.9549999575767</v>
      </c>
      <c r="C133">
        <f t="shared" si="34"/>
        <v>101.955</v>
      </c>
      <c r="D133" s="11">
        <f t="shared" si="37"/>
        <v>-4.2423295099069946E-8</v>
      </c>
      <c r="E133" s="8">
        <f t="shared" si="38"/>
        <v>-4.1609823058280563E-10</v>
      </c>
      <c r="F133" s="13">
        <f t="shared" si="39"/>
        <v>-85.835795318170014</v>
      </c>
      <c r="G133" s="13"/>
    </row>
    <row r="134" spans="1:7" x14ac:dyDescent="0.15">
      <c r="A134" s="8">
        <f t="shared" si="36"/>
        <v>2.5782441144025062E-2</v>
      </c>
      <c r="B134" s="11">
        <f t="shared" si="35"/>
        <v>101.95499996355504</v>
      </c>
      <c r="C134">
        <f t="shared" si="34"/>
        <v>101.955</v>
      </c>
      <c r="D134" s="11">
        <f t="shared" si="37"/>
        <v>-3.6444959050641046E-8</v>
      </c>
      <c r="E134" s="8">
        <f t="shared" si="38"/>
        <v>-3.5746122358531751E-10</v>
      </c>
      <c r="F134" s="13">
        <f t="shared" si="39"/>
        <v>-85.835795324567712</v>
      </c>
      <c r="G134" s="13"/>
    </row>
    <row r="135" spans="1:7" x14ac:dyDescent="0.15">
      <c r="A135" s="8">
        <f t="shared" si="36"/>
        <v>2.5782441133078114E-2</v>
      </c>
      <c r="B135" s="11">
        <f t="shared" si="35"/>
        <v>101.95499996869087</v>
      </c>
      <c r="C135">
        <f t="shared" si="34"/>
        <v>101.955</v>
      </c>
      <c r="D135" s="11">
        <f t="shared" si="37"/>
        <v>-3.1309127734857611E-8</v>
      </c>
      <c r="E135" s="8">
        <f t="shared" si="38"/>
        <v>-3.0708771256787417E-10</v>
      </c>
      <c r="F135" s="13">
        <f t="shared" si="39"/>
        <v>-85.835795330063888</v>
      </c>
      <c r="G135" s="13"/>
    </row>
    <row r="136" spans="1:7" x14ac:dyDescent="0.15">
      <c r="A136" s="8">
        <f t="shared" si="36"/>
        <v>2.578244112367381E-2</v>
      </c>
      <c r="B136" s="11">
        <f t="shared" si="35"/>
        <v>101.954999973103</v>
      </c>
      <c r="C136">
        <f t="shared" si="34"/>
        <v>101.955</v>
      </c>
      <c r="D136" s="11">
        <f t="shared" si="37"/>
        <v>-2.6896998406300554E-8</v>
      </c>
      <c r="E136" s="8">
        <f t="shared" si="38"/>
        <v>-2.638124506527444E-10</v>
      </c>
      <c r="F136" s="13">
        <f t="shared" si="39"/>
        <v>-85.835795334785487</v>
      </c>
      <c r="G136" s="13"/>
    </row>
    <row r="137" spans="1:7" x14ac:dyDescent="0.15">
      <c r="A137" s="8">
        <f t="shared" si="36"/>
        <v>2.5782441115594776E-2</v>
      </c>
      <c r="B137" s="11">
        <f t="shared" si="35"/>
        <v>101.95499997689335</v>
      </c>
      <c r="C137">
        <f t="shared" si="34"/>
        <v>101.955</v>
      </c>
      <c r="D137" s="11">
        <f t="shared" si="37"/>
        <v>-2.3106650814952445E-8</v>
      </c>
      <c r="E137" s="8">
        <f t="shared" si="38"/>
        <v>-2.2663577867640082E-10</v>
      </c>
      <c r="F137" s="13">
        <f t="shared" si="39"/>
        <v>-85.835795338841749</v>
      </c>
      <c r="G137" s="13"/>
    </row>
    <row r="138" spans="1:7" x14ac:dyDescent="0.15">
      <c r="A138" s="8">
        <f t="shared" si="36"/>
        <v>2.5782441108654245E-2</v>
      </c>
      <c r="B138" s="11">
        <f t="shared" si="35"/>
        <v>101.95499998014955</v>
      </c>
      <c r="C138">
        <f t="shared" si="34"/>
        <v>101.955</v>
      </c>
      <c r="D138" s="11">
        <f t="shared" si="37"/>
        <v>-1.9850446619784634E-8</v>
      </c>
      <c r="E138" s="8">
        <f t="shared" si="38"/>
        <v>-1.9469811799111995E-10</v>
      </c>
      <c r="F138" s="13">
        <f t="shared" si="39"/>
        <v>-85.835795342326335</v>
      </c>
      <c r="G138" s="13"/>
    </row>
    <row r="139" spans="1:7" x14ac:dyDescent="0.15">
      <c r="A139" s="8">
        <f t="shared" si="36"/>
        <v>2.5782441102691782E-2</v>
      </c>
      <c r="B139" s="11">
        <f t="shared" si="35"/>
        <v>101.95499998294689</v>
      </c>
      <c r="C139">
        <f t="shared" si="34"/>
        <v>101.955</v>
      </c>
      <c r="D139" s="11">
        <f t="shared" si="37"/>
        <v>-1.7053110923370696E-8</v>
      </c>
      <c r="E139" s="8">
        <f t="shared" si="38"/>
        <v>-1.6726115367927709E-10</v>
      </c>
      <c r="F139" s="13">
        <f t="shared" si="39"/>
        <v>-85.835795345319937</v>
      </c>
      <c r="G139" s="13"/>
    </row>
    <row r="140" spans="1:7" x14ac:dyDescent="0.15">
      <c r="A140" s="8">
        <f t="shared" si="36"/>
        <v>2.5782441097569549E-2</v>
      </c>
      <c r="B140" s="11">
        <f t="shared" si="35"/>
        <v>101.95499998535004</v>
      </c>
      <c r="C140">
        <f t="shared" si="34"/>
        <v>101.955</v>
      </c>
      <c r="D140" s="11">
        <f t="shared" si="37"/>
        <v>-1.464995591504703E-8</v>
      </c>
      <c r="E140" s="8">
        <f t="shared" si="38"/>
        <v>-1.4369041160361955E-10</v>
      </c>
      <c r="F140" s="13">
        <f t="shared" si="39"/>
        <v>-85.835795347891633</v>
      </c>
      <c r="G140" s="13"/>
    </row>
    <row r="141" spans="1:7" x14ac:dyDescent="0.15">
      <c r="A141" s="8">
        <f t="shared" si="36"/>
        <v>2.5782441093169149E-2</v>
      </c>
      <c r="B141" s="11">
        <f t="shared" si="35"/>
        <v>101.95499998741452</v>
      </c>
      <c r="C141">
        <f t="shared" si="34"/>
        <v>101.955</v>
      </c>
      <c r="D141" s="11">
        <f t="shared" si="37"/>
        <v>-1.2585473996296059E-8</v>
      </c>
      <c r="E141" s="8">
        <f t="shared" si="38"/>
        <v>-1.2344145943108291E-10</v>
      </c>
      <c r="F141" s="13">
        <f t="shared" si="39"/>
        <v>-85.83579535010098</v>
      </c>
      <c r="G141" s="13"/>
    </row>
    <row r="142" spans="1:7" x14ac:dyDescent="0.15">
      <c r="A142" s="8">
        <f t="shared" si="36"/>
        <v>2.5782441089388857E-2</v>
      </c>
      <c r="B142" s="11">
        <f t="shared" si="35"/>
        <v>101.95499998918808</v>
      </c>
      <c r="C142">
        <f t="shared" si="34"/>
        <v>101.955</v>
      </c>
      <c r="D142" s="11">
        <f t="shared" si="37"/>
        <v>-1.0811916695274704E-8</v>
      </c>
      <c r="E142" s="8">
        <f t="shared" si="38"/>
        <v>-1.060459682730097E-10</v>
      </c>
      <c r="F142" s="13">
        <f t="shared" si="39"/>
        <v>-85.835795351998968</v>
      </c>
      <c r="G142" s="13"/>
    </row>
    <row r="143" spans="1:7" x14ac:dyDescent="0.15">
      <c r="A143" s="8">
        <f t="shared" si="36"/>
        <v>2.5782441086141288E-2</v>
      </c>
      <c r="B143" s="11">
        <f t="shared" si="35"/>
        <v>101.95499999071173</v>
      </c>
      <c r="C143">
        <f t="shared" si="34"/>
        <v>101.955</v>
      </c>
      <c r="D143" s="11">
        <f t="shared" si="37"/>
        <v>-9.2882714852748904E-9</v>
      </c>
      <c r="E143" s="8">
        <f t="shared" si="38"/>
        <v>-9.1101677066106523E-11</v>
      </c>
      <c r="F143" s="13">
        <f t="shared" si="39"/>
        <v>-85.835795353629379</v>
      </c>
      <c r="G143" s="13"/>
    </row>
    <row r="144" spans="1:7" x14ac:dyDescent="0.15">
      <c r="A144" s="8">
        <f t="shared" si="36"/>
        <v>2.5782441083351378E-2</v>
      </c>
      <c r="B144" s="11">
        <f t="shared" si="35"/>
        <v>101.95499999202062</v>
      </c>
      <c r="C144">
        <f t="shared" si="34"/>
        <v>101.955</v>
      </c>
      <c r="D144" s="11">
        <f t="shared" si="37"/>
        <v>-7.9793807117312099E-9</v>
      </c>
      <c r="E144" s="8">
        <f t="shared" si="38"/>
        <v>-7.8263750789379728E-11</v>
      </c>
      <c r="F144" s="13">
        <f t="shared" si="39"/>
        <v>-85.835795355030172</v>
      </c>
      <c r="G144" s="13"/>
    </row>
    <row r="145" spans="1:7" x14ac:dyDescent="0.15">
      <c r="A145" s="8">
        <f t="shared" si="36"/>
        <v>2.5782441080954618E-2</v>
      </c>
      <c r="B145" s="11">
        <f t="shared" si="35"/>
        <v>101.95499999314509</v>
      </c>
      <c r="C145">
        <f t="shared" si="34"/>
        <v>101.955</v>
      </c>
      <c r="D145" s="11">
        <f t="shared" si="37"/>
        <v>-6.8549041998267057E-9</v>
      </c>
      <c r="E145" s="8">
        <f t="shared" si="38"/>
        <v>-6.7234605461494829E-11</v>
      </c>
      <c r="F145" s="13">
        <f t="shared" si="39"/>
        <v>-85.835795356233461</v>
      </c>
      <c r="G145" s="13"/>
    </row>
    <row r="146" spans="1:7" x14ac:dyDescent="0.15">
      <c r="A146" s="8">
        <f t="shared" si="36"/>
        <v>2.5782441078895615E-2</v>
      </c>
      <c r="B146" s="11">
        <f t="shared" si="35"/>
        <v>101.95499999411108</v>
      </c>
      <c r="C146">
        <f t="shared" si="34"/>
        <v>101.955</v>
      </c>
      <c r="D146" s="11">
        <f t="shared" si="37"/>
        <v>-5.8889213505608495E-9</v>
      </c>
      <c r="E146" s="8">
        <f t="shared" si="38"/>
        <v>-5.7760005400037759E-11</v>
      </c>
      <c r="F146" s="13">
        <f t="shared" si="39"/>
        <v>-85.835795357267287</v>
      </c>
      <c r="G146" s="13"/>
    </row>
    <row r="147" spans="1:7" x14ac:dyDescent="0.15">
      <c r="A147" s="8">
        <f t="shared" si="36"/>
        <v>2.5782441077126766E-2</v>
      </c>
      <c r="B147" s="11">
        <f t="shared" si="35"/>
        <v>101.95499999494096</v>
      </c>
      <c r="C147">
        <f t="shared" ref="C147:C170" si="40">$C$16</f>
        <v>101.955</v>
      </c>
      <c r="D147" s="11">
        <f t="shared" si="37"/>
        <v>-5.0590358569024829E-9</v>
      </c>
      <c r="E147" s="8">
        <f t="shared" si="38"/>
        <v>-4.9620282054852466E-11</v>
      </c>
      <c r="F147" s="13">
        <f t="shared" si="39"/>
        <v>-85.835795358155309</v>
      </c>
      <c r="G147" s="13"/>
    </row>
    <row r="148" spans="1:7" x14ac:dyDescent="0.15">
      <c r="A148" s="8">
        <f t="shared" si="36"/>
        <v>2.5782441075607187E-2</v>
      </c>
      <c r="B148" s="11">
        <f t="shared" ref="B148:B170" si="41">ABS(PV(A148,5,3,100))</f>
        <v>101.95499999565388</v>
      </c>
      <c r="C148">
        <f t="shared" si="40"/>
        <v>101.955</v>
      </c>
      <c r="D148" s="11">
        <f t="shared" si="37"/>
        <v>-4.346119908404944E-9</v>
      </c>
      <c r="E148" s="8">
        <f t="shared" si="38"/>
        <v>-4.2627825103280308E-11</v>
      </c>
      <c r="F148" s="13">
        <f t="shared" si="39"/>
        <v>-85.83579535891829</v>
      </c>
      <c r="G148" s="13"/>
    </row>
    <row r="149" spans="1:7" x14ac:dyDescent="0.15">
      <c r="A149" s="8">
        <f t="shared" si="36"/>
        <v>2.5782441074301745E-2</v>
      </c>
      <c r="B149" s="11">
        <f t="shared" si="41"/>
        <v>101.95499999626635</v>
      </c>
      <c r="C149">
        <f t="shared" si="40"/>
        <v>101.955</v>
      </c>
      <c r="D149" s="11">
        <f t="shared" si="37"/>
        <v>-3.7336462810344528E-9</v>
      </c>
      <c r="E149" s="8">
        <f t="shared" si="38"/>
        <v>-3.6620531421062754E-11</v>
      </c>
      <c r="F149" s="13">
        <f t="shared" si="39"/>
        <v>-85.83579535957368</v>
      </c>
      <c r="G149" s="13"/>
    </row>
    <row r="150" spans="1:7" x14ac:dyDescent="0.15">
      <c r="A150" s="8">
        <f t="shared" si="36"/>
        <v>2.5782441073180271E-2</v>
      </c>
      <c r="B150" s="11">
        <f t="shared" si="41"/>
        <v>101.95499999679248</v>
      </c>
      <c r="C150">
        <f t="shared" si="40"/>
        <v>101.955</v>
      </c>
      <c r="D150" s="11">
        <f t="shared" si="37"/>
        <v>-3.2075178069135291E-9</v>
      </c>
      <c r="E150" s="8">
        <f t="shared" si="38"/>
        <v>-3.1460132479167562E-11</v>
      </c>
      <c r="F150" s="13">
        <f t="shared" si="39"/>
        <v>-85.835795360136814</v>
      </c>
      <c r="G150" s="13"/>
    </row>
    <row r="151" spans="1:7" x14ac:dyDescent="0.15">
      <c r="A151" s="8">
        <f t="shared" si="36"/>
        <v>2.5782441072216829E-2</v>
      </c>
      <c r="B151" s="11">
        <f t="shared" si="41"/>
        <v>101.9549999972445</v>
      </c>
      <c r="C151">
        <f t="shared" si="40"/>
        <v>101.955</v>
      </c>
      <c r="D151" s="11">
        <f t="shared" si="37"/>
        <v>-2.7554989401323837E-9</v>
      </c>
      <c r="E151" s="8">
        <f t="shared" si="38"/>
        <v>-2.7026618999876258E-11</v>
      </c>
      <c r="F151" s="13">
        <f t="shared" si="39"/>
        <v>-85.835795360620565</v>
      </c>
      <c r="G151" s="13"/>
    </row>
    <row r="152" spans="1:7" x14ac:dyDescent="0.15">
      <c r="A152" s="8">
        <f t="shared" si="36"/>
        <v>2.5782441071389162E-2</v>
      </c>
      <c r="B152" s="11">
        <f t="shared" si="41"/>
        <v>101.95499999763281</v>
      </c>
      <c r="C152">
        <f t="shared" si="40"/>
        <v>101.955</v>
      </c>
      <c r="D152" s="11">
        <f t="shared" si="37"/>
        <v>-2.367187335039489E-9</v>
      </c>
      <c r="E152" s="8">
        <f t="shared" si="38"/>
        <v>-2.3217962189588437E-11</v>
      </c>
      <c r="F152" s="13">
        <f t="shared" si="39"/>
        <v>-85.83579536103602</v>
      </c>
      <c r="G152" s="13"/>
    </row>
    <row r="153" spans="1:7" x14ac:dyDescent="0.15">
      <c r="A153" s="8">
        <f t="shared" si="36"/>
        <v>2.5782441070678133E-2</v>
      </c>
      <c r="B153" s="11">
        <f t="shared" si="41"/>
        <v>101.9549999979664</v>
      </c>
      <c r="C153">
        <f t="shared" si="40"/>
        <v>101.955</v>
      </c>
      <c r="D153" s="11">
        <f t="shared" si="37"/>
        <v>-2.0336017314548371E-9</v>
      </c>
      <c r="E153" s="8">
        <f t="shared" si="38"/>
        <v>-1.9946071614485186E-11</v>
      </c>
      <c r="F153" s="13">
        <f t="shared" si="39"/>
        <v>-85.835795361393011</v>
      </c>
      <c r="G153" s="13"/>
    </row>
    <row r="154" spans="1:7" x14ac:dyDescent="0.15">
      <c r="A154" s="8">
        <f t="shared" si="36"/>
        <v>2.5782441070067302E-2</v>
      </c>
      <c r="B154" s="11">
        <f t="shared" si="41"/>
        <v>101.95499999825297</v>
      </c>
      <c r="C154">
        <f t="shared" si="40"/>
        <v>101.955</v>
      </c>
      <c r="D154" s="11">
        <f t="shared" si="37"/>
        <v>-1.7470256352680735E-9</v>
      </c>
      <c r="E154" s="8">
        <f t="shared" si="38"/>
        <v>-1.7135261980953104E-11</v>
      </c>
      <c r="F154" s="13">
        <f t="shared" si="39"/>
        <v>-85.835795361699681</v>
      </c>
      <c r="G154" s="13"/>
    </row>
    <row r="155" spans="1:7" x14ac:dyDescent="0.15">
      <c r="A155" s="8">
        <f t="shared" si="36"/>
        <v>2.5782441069542548E-2</v>
      </c>
      <c r="B155" s="11">
        <f t="shared" si="41"/>
        <v>101.95499999849916</v>
      </c>
      <c r="C155">
        <f t="shared" si="40"/>
        <v>101.955</v>
      </c>
      <c r="D155" s="11">
        <f t="shared" si="37"/>
        <v>-1.500836788181914E-9</v>
      </c>
      <c r="E155" s="8">
        <f t="shared" si="38"/>
        <v>-1.4720580532410514E-11</v>
      </c>
      <c r="F155" s="13">
        <f t="shared" si="39"/>
        <v>-85.835795361963136</v>
      </c>
      <c r="G155" s="13"/>
    </row>
    <row r="156" spans="1:7" x14ac:dyDescent="0.15">
      <c r="A156" s="8">
        <f t="shared" si="36"/>
        <v>2.5782441069091742E-2</v>
      </c>
      <c r="B156" s="11">
        <f t="shared" si="41"/>
        <v>101.95499999871066</v>
      </c>
      <c r="C156">
        <f t="shared" si="40"/>
        <v>101.955</v>
      </c>
      <c r="D156" s="11">
        <f t="shared" si="37"/>
        <v>-1.2893366374555626E-9</v>
      </c>
      <c r="E156" s="8">
        <f t="shared" si="38"/>
        <v>-1.2646134446133712E-11</v>
      </c>
      <c r="F156" s="13">
        <f t="shared" si="39"/>
        <v>-85.835795362189515</v>
      </c>
      <c r="G156" s="13"/>
    </row>
    <row r="157" spans="1:7" x14ac:dyDescent="0.15">
      <c r="A157" s="8">
        <f t="shared" si="36"/>
        <v>2.5782441068704465E-2</v>
      </c>
      <c r="B157" s="11">
        <f t="shared" si="41"/>
        <v>101.95499999889235</v>
      </c>
      <c r="C157">
        <f t="shared" si="40"/>
        <v>101.955</v>
      </c>
      <c r="D157" s="11">
        <f t="shared" si="37"/>
        <v>-1.107650859921705E-9</v>
      </c>
      <c r="E157" s="8">
        <f t="shared" si="38"/>
        <v>-1.0864115148072237E-11</v>
      </c>
      <c r="F157" s="13">
        <f t="shared" si="39"/>
        <v>-85.835795362383948</v>
      </c>
      <c r="G157" s="13"/>
    </row>
    <row r="158" spans="1:7" x14ac:dyDescent="0.15">
      <c r="A158" s="8">
        <f t="shared" si="36"/>
        <v>2.5782441068371759E-2</v>
      </c>
      <c r="B158" s="11">
        <f t="shared" si="41"/>
        <v>101.95499999904845</v>
      </c>
      <c r="C158">
        <f t="shared" si="40"/>
        <v>101.955</v>
      </c>
      <c r="D158" s="11">
        <f t="shared" si="37"/>
        <v>-9.5154462087521097E-10</v>
      </c>
      <c r="E158" s="8">
        <f t="shared" si="38"/>
        <v>-9.3329863260772986E-12</v>
      </c>
      <c r="F158" s="13">
        <f t="shared" si="39"/>
        <v>-85.835795362550982</v>
      </c>
      <c r="G158" s="13"/>
    </row>
    <row r="159" spans="1:7" x14ac:dyDescent="0.15">
      <c r="A159" s="8">
        <f t="shared" si="36"/>
        <v>2.5782441068085943E-2</v>
      </c>
      <c r="B159" s="11">
        <f t="shared" si="41"/>
        <v>101.95499999918255</v>
      </c>
      <c r="C159">
        <f t="shared" si="40"/>
        <v>101.955</v>
      </c>
      <c r="D159" s="11">
        <f t="shared" si="37"/>
        <v>-8.1745099578256486E-10</v>
      </c>
      <c r="E159" s="8">
        <f t="shared" si="38"/>
        <v>-8.0177626970973953E-12</v>
      </c>
      <c r="F159" s="13">
        <f t="shared" si="39"/>
        <v>-85.835795362694427</v>
      </c>
      <c r="G159" s="13"/>
    </row>
    <row r="160" spans="1:7" x14ac:dyDescent="0.15">
      <c r="A160" s="8">
        <f t="shared" si="36"/>
        <v>2.5782441067840407E-2</v>
      </c>
      <c r="B160" s="11">
        <f t="shared" si="41"/>
        <v>101.95499999929774</v>
      </c>
      <c r="C160">
        <f t="shared" si="40"/>
        <v>101.955</v>
      </c>
      <c r="D160" s="11">
        <f t="shared" si="37"/>
        <v>-7.0225780746113742E-10</v>
      </c>
      <c r="E160" s="8">
        <f t="shared" si="38"/>
        <v>-6.8879192532110973E-12</v>
      </c>
      <c r="F160" s="13">
        <f t="shared" si="39"/>
        <v>-85.835795362817734</v>
      </c>
      <c r="G160" s="13"/>
    </row>
    <row r="161" spans="1:7" x14ac:dyDescent="0.15">
      <c r="A161" s="8">
        <f t="shared" si="36"/>
        <v>2.5782441067629468E-2</v>
      </c>
      <c r="B161" s="11">
        <f t="shared" si="41"/>
        <v>101.95499999939669</v>
      </c>
      <c r="C161">
        <f t="shared" si="40"/>
        <v>101.955</v>
      </c>
      <c r="D161" s="11">
        <f t="shared" si="37"/>
        <v>-6.0330762607918587E-10</v>
      </c>
      <c r="E161" s="8">
        <f t="shared" si="38"/>
        <v>-5.9173912616270498E-12</v>
      </c>
      <c r="F161" s="13">
        <f t="shared" si="39"/>
        <v>-85.835795362923648</v>
      </c>
      <c r="G161" s="13"/>
    </row>
    <row r="162" spans="1:7" x14ac:dyDescent="0.15">
      <c r="A162" s="8">
        <f t="shared" si="36"/>
        <v>2.5782441067448252E-2</v>
      </c>
      <c r="B162" s="11">
        <f t="shared" si="41"/>
        <v>101.95499999948173</v>
      </c>
      <c r="C162">
        <f t="shared" si="40"/>
        <v>101.955</v>
      </c>
      <c r="D162" s="11">
        <f t="shared" si="37"/>
        <v>-5.1826987146341708E-10</v>
      </c>
      <c r="E162" s="8">
        <f t="shared" si="38"/>
        <v>-5.0833198123036352E-12</v>
      </c>
      <c r="F162" s="13">
        <f t="shared" si="39"/>
        <v>-85.835795363014597</v>
      </c>
      <c r="G162" s="13"/>
    </row>
    <row r="163" spans="1:7" x14ac:dyDescent="0.15">
      <c r="A163" s="8">
        <f t="shared" si="36"/>
        <v>2.5782441067292577E-2</v>
      </c>
      <c r="B163" s="11">
        <f t="shared" si="41"/>
        <v>101.95499999955476</v>
      </c>
      <c r="C163">
        <f t="shared" si="40"/>
        <v>101.955</v>
      </c>
      <c r="D163" s="11">
        <f t="shared" si="37"/>
        <v>-4.4524028908199398E-10</v>
      </c>
      <c r="E163" s="8">
        <f t="shared" si="38"/>
        <v>-4.3670275031336768E-12</v>
      </c>
      <c r="F163" s="13">
        <f t="shared" si="39"/>
        <v>-85.835795363092757</v>
      </c>
      <c r="G163" s="13"/>
    </row>
    <row r="164" spans="1:7" x14ac:dyDescent="0.15">
      <c r="A164" s="8">
        <f t="shared" si="36"/>
        <v>2.5782441067158841E-2</v>
      </c>
      <c r="B164" s="11">
        <f t="shared" si="41"/>
        <v>101.9549999996175</v>
      </c>
      <c r="C164">
        <f t="shared" si="40"/>
        <v>101.955</v>
      </c>
      <c r="D164" s="11">
        <f t="shared" si="37"/>
        <v>-3.8249936551437713E-10</v>
      </c>
      <c r="E164" s="8">
        <f t="shared" si="38"/>
        <v>-3.7516489187815917E-12</v>
      </c>
      <c r="F164" s="13">
        <f t="shared" si="39"/>
        <v>-85.83579536315996</v>
      </c>
      <c r="G164" s="13"/>
    </row>
    <row r="165" spans="1:7" x14ac:dyDescent="0.15">
      <c r="A165" s="8">
        <f t="shared" si="36"/>
        <v>2.578244106704395E-2</v>
      </c>
      <c r="B165" s="11">
        <f t="shared" si="41"/>
        <v>101.9549999996714</v>
      </c>
      <c r="C165">
        <f t="shared" si="40"/>
        <v>101.955</v>
      </c>
      <c r="D165" s="11">
        <f t="shared" si="37"/>
        <v>-3.2859759357961593E-10</v>
      </c>
      <c r="E165" s="8">
        <f t="shared" si="38"/>
        <v>-3.2229669322702756E-12</v>
      </c>
      <c r="F165" s="13">
        <f t="shared" si="39"/>
        <v>-85.835795363217628</v>
      </c>
      <c r="G165" s="13"/>
    </row>
    <row r="166" spans="1:7" x14ac:dyDescent="0.15">
      <c r="A166" s="8">
        <f t="shared" si="36"/>
        <v>2.5782441066945251E-2</v>
      </c>
      <c r="B166" s="11">
        <f t="shared" si="41"/>
        <v>101.9549999997177</v>
      </c>
      <c r="C166">
        <f t="shared" si="40"/>
        <v>101.955</v>
      </c>
      <c r="D166" s="11">
        <f t="shared" si="37"/>
        <v>-2.822986289174878E-10</v>
      </c>
      <c r="E166" s="8">
        <f t="shared" si="38"/>
        <v>-2.7688551705898466E-12</v>
      </c>
      <c r="F166" s="13">
        <f t="shared" si="39"/>
        <v>-85.835795363267252</v>
      </c>
      <c r="G166" s="13"/>
    </row>
    <row r="167" spans="1:7" x14ac:dyDescent="0.15">
      <c r="A167" s="8">
        <f t="shared" si="36"/>
        <v>2.5782441066860458E-2</v>
      </c>
      <c r="B167" s="11">
        <f t="shared" si="41"/>
        <v>101.95499999975749</v>
      </c>
      <c r="C167">
        <f t="shared" si="40"/>
        <v>101.955</v>
      </c>
      <c r="D167" s="11">
        <f t="shared" si="37"/>
        <v>-2.4250823571492219E-10</v>
      </c>
      <c r="E167" s="8">
        <f t="shared" si="38"/>
        <v>-2.3785810967085696E-12</v>
      </c>
      <c r="F167" s="13">
        <f t="shared" si="39"/>
        <v>-85.835795363309671</v>
      </c>
      <c r="G167" s="13"/>
    </row>
    <row r="168" spans="1:7" x14ac:dyDescent="0.15">
      <c r="A168" s="8">
        <f t="shared" si="36"/>
        <v>2.5782441066787613E-2</v>
      </c>
      <c r="B168" s="11">
        <f t="shared" si="41"/>
        <v>101.95499999979167</v>
      </c>
      <c r="C168">
        <f t="shared" si="40"/>
        <v>101.955</v>
      </c>
      <c r="D168" s="11">
        <f t="shared" si="37"/>
        <v>-2.0833113012486137E-10</v>
      </c>
      <c r="E168" s="8">
        <f t="shared" si="38"/>
        <v>-2.0433635439641155E-12</v>
      </c>
      <c r="F168" s="13">
        <f t="shared" si="39"/>
        <v>-85.835795363346364</v>
      </c>
      <c r="G168" s="13"/>
    </row>
    <row r="169" spans="1:7" x14ac:dyDescent="0.15">
      <c r="A169" s="8">
        <f t="shared" si="36"/>
        <v>2.5782441066725038E-2</v>
      </c>
      <c r="B169" s="11">
        <f t="shared" si="41"/>
        <v>101.95499999982103</v>
      </c>
      <c r="C169">
        <f t="shared" si="40"/>
        <v>101.955</v>
      </c>
      <c r="D169" s="11">
        <f t="shared" si="37"/>
        <v>-1.7897150428325403E-10</v>
      </c>
      <c r="E169" s="8">
        <f t="shared" si="38"/>
        <v>-1.7553970308788587E-12</v>
      </c>
      <c r="F169" s="13">
        <f t="shared" si="39"/>
        <v>-85.835795363377713</v>
      </c>
      <c r="G169" s="13"/>
    </row>
    <row r="170" spans="1:7" x14ac:dyDescent="0.15">
      <c r="A170" s="8">
        <f t="shared" si="36"/>
        <v>2.5782441066671283E-2</v>
      </c>
      <c r="B170" s="11">
        <f t="shared" si="41"/>
        <v>101.95499999984625</v>
      </c>
      <c r="C170">
        <f t="shared" si="40"/>
        <v>101.955</v>
      </c>
      <c r="D170" s="11">
        <f t="shared" si="37"/>
        <v>-1.5374723716377048E-10</v>
      </c>
      <c r="E170" s="8">
        <f t="shared" si="38"/>
        <v>-1.507991144757692E-12</v>
      </c>
      <c r="F170" s="13">
        <f t="shared" si="39"/>
        <v>-85.835795363404671</v>
      </c>
      <c r="G170" s="13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I14" sqref="I14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Sheet1</vt:lpstr>
      <vt:lpstr>BSM-1</vt:lpstr>
      <vt:lpstr>BSM-2</vt:lpstr>
      <vt:lpstr>BSM-3</vt:lpstr>
      <vt:lpstr>BSM-Greeks</vt:lpstr>
      <vt:lpstr>BSM-BinaryTree</vt:lpstr>
      <vt:lpstr>TreasuryFutures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洪明华</dc:creator>
  <cp:lastModifiedBy>洪明华</cp:lastModifiedBy>
  <dcterms:created xsi:type="dcterms:W3CDTF">2016-03-28T07:23:03Z</dcterms:created>
  <dcterms:modified xsi:type="dcterms:W3CDTF">2016-08-10T09:53:47Z</dcterms:modified>
</cp:coreProperties>
</file>